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Summary" sheetId="2" r:id="rId2"/>
    <sheet name="Clusters" sheetId="3" r:id="rId3"/>
    <sheet name="Lines" sheetId="4" r:id="rId4"/>
    <sheet name="Causes" sheetId="5" r:id="rId5"/>
  </sheets>
  <definedNames>
    <definedName name="_xlnm._FilterDatabase" localSheetId="2">'Clusters'!A1:T17</definedName>
    <definedName name="_xlnm._FilterDatabase" localSheetId="3">'Lines'!A1:Z107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BA000%20991%2036%2004%20Mercedes-Benz" TargetMode="External"/><Relationship Id="rId2" Type="http://schemas.openxmlformats.org/officeDocument/2006/relationships/hyperlink" Target="https://www.google.com/search?q=MBA213%20885%2016%2000%20Mercedes-Benz" TargetMode="External"/><Relationship Id="rId3" Type="http://schemas.openxmlformats.org/officeDocument/2006/relationships/hyperlink" Target="https://www.google.com/search?q=MBA156%20880%2041%2000%20Mercedes-Benz" TargetMode="External"/><Relationship Id="rId4" Type="http://schemas.openxmlformats.org/officeDocument/2006/relationships/hyperlink" Target="https://www.google.com/search?q=MBA205%20885%2031%2023%20Mercedes-Benz" TargetMode="External"/><Relationship Id="rId5" Type="http://schemas.openxmlformats.org/officeDocument/2006/relationships/hyperlink" Target="https://www.google.com/search?q=MBA003%20990%2094%2097%2FCUPPED%20BLIND%20RI%20Mercedes-Benz" TargetMode="External"/><Relationship Id="rId6" Type="http://schemas.openxmlformats.org/officeDocument/2006/relationships/hyperlink" Target="https://www.google.com/search?q=MBA253%20885%2005%2022%20Mercedes-Benz" TargetMode="External"/><Relationship Id="rId7" Type="http://schemas.openxmlformats.org/officeDocument/2006/relationships/hyperlink" Target="https://www.google.com/search?q=MBA156%20880%2046%2000%20Mercedes-Benz" TargetMode="External"/><Relationship Id="rId8" Type="http://schemas.openxmlformats.org/officeDocument/2006/relationships/hyperlink" Target="https://www.google.com/search?q=T81130-37203R%20Toyota" TargetMode="External"/><Relationship Id="rId9" Type="http://schemas.openxmlformats.org/officeDocument/2006/relationships/hyperlink" Target="https://www.google.com/search?q=T81170-37203R%20Toyota" TargetMode="External"/><Relationship Id="rId10" Type="http://schemas.openxmlformats.org/officeDocument/2006/relationships/hyperlink" Target="https://www.google.com/search?q=ZZT81130-0L010%20Toyota" TargetMode="External"/><Relationship Id="rId11" Type="http://schemas.openxmlformats.org/officeDocument/2006/relationships/hyperlink" Target="https://www.google.com/search?q=ZZT81170-02F31%20Toyota" TargetMode="External"/><Relationship Id="rId12" Type="http://schemas.openxmlformats.org/officeDocument/2006/relationships/hyperlink" Target="https://www.google.com/search?q=T81130-37660%20Toyota" TargetMode="External"/><Relationship Id="rId13" Type="http://schemas.openxmlformats.org/officeDocument/2006/relationships/hyperlink" Target="https://www.google.com/search?q=ZZT81185-06d50%20Toyota" TargetMode="External"/><Relationship Id="rId14" Type="http://schemas.openxmlformats.org/officeDocument/2006/relationships/hyperlink" Target="https://www.google.com/search?q=T81130-37660%20Toyota" TargetMode="External"/><Relationship Id="rId15" Type="http://schemas.openxmlformats.org/officeDocument/2006/relationships/hyperlink" Target="https://www.google.com/search?q=T81130-12J70%20Toyota" TargetMode="External"/><Relationship Id="rId16" Type="http://schemas.openxmlformats.org/officeDocument/2006/relationships/hyperlink" Target="https://www.google.com/search?q=T81170-12J70%20Toyota" TargetMode="External"/><Relationship Id="rId17" Type="http://schemas.openxmlformats.org/officeDocument/2006/relationships/hyperlink" Target="https://www.google.com/search?q=T81150-B1431%20Toyota" TargetMode="External"/><Relationship Id="rId18" Type="http://schemas.openxmlformats.org/officeDocument/2006/relationships/hyperlink" Target="https://www.google.com/search?q=T81170-52K30%20Toyota" TargetMode="External"/><Relationship Id="rId19" Type="http://schemas.openxmlformats.org/officeDocument/2006/relationships/hyperlink" Target="https://www.google.com/search?q=T81130-28G40%20Toyota" TargetMode="External"/><Relationship Id="rId20" Type="http://schemas.openxmlformats.org/officeDocument/2006/relationships/hyperlink" Target="https://www.google.com/search?q=T81145-78170%20Toyota" TargetMode="External"/><Relationship Id="rId21" Type="http://schemas.openxmlformats.org/officeDocument/2006/relationships/hyperlink" Target="https://www.google.com/search?q=TY81185-48F60%20Toyota" TargetMode="External"/><Relationship Id="rId22" Type="http://schemas.openxmlformats.org/officeDocument/2006/relationships/hyperlink" Target="https://www.google.com/search?q=1771986-SC-C%20Tesla" TargetMode="External"/><Relationship Id="rId23" Type="http://schemas.openxmlformats.org/officeDocument/2006/relationships/hyperlink" Target="https://www.google.com/search?q=1771936-SC-C%20Tesla" TargetMode="External"/><Relationship Id="rId24" Type="http://schemas.openxmlformats.org/officeDocument/2006/relationships/hyperlink" Target="https://www.google.com/search?q=1771936-SC-C%20Tesla" TargetMode="External"/><Relationship Id="rId25" Type="http://schemas.openxmlformats.org/officeDocument/2006/relationships/hyperlink" Target="https://www.google.com/search?q=1714884-EC-D%20Tesla" TargetMode="External"/><Relationship Id="rId26" Type="http://schemas.openxmlformats.org/officeDocument/2006/relationships/hyperlink" Target="https://www.google.com/search?q=1714884-EC-D%20Tesla" TargetMode="External"/><Relationship Id="rId27" Type="http://schemas.openxmlformats.org/officeDocument/2006/relationships/hyperlink" Target="https://www.google.com/search?q=1714884-EC-D%20Tesla" TargetMode="External"/><Relationship Id="rId28" Type="http://schemas.openxmlformats.org/officeDocument/2006/relationships/hyperlink" Target="https://www.google.com/search?q=1714884-EC-D%20Tesla" TargetMode="External"/><Relationship Id="rId29" Type="http://schemas.openxmlformats.org/officeDocument/2006/relationships/hyperlink" Target="https://www.google.com/search?q=MBA213%20885%2006%2021%20Mercedes-Benz" TargetMode="External"/><Relationship Id="rId30" Type="http://schemas.openxmlformats.org/officeDocument/2006/relationships/hyperlink" Target="https://www.google.com/search?q=MBA253%20885%2067%2001%20Mercedes-Benz" TargetMode="External"/><Relationship Id="rId31" Type="http://schemas.openxmlformats.org/officeDocument/2006/relationships/hyperlink" Target="https://www.google.com/search?q=A4478800612%20Mercedes-Benz" TargetMode="External"/><Relationship Id="rId32" Type="http://schemas.openxmlformats.org/officeDocument/2006/relationships/hyperlink" Target="https://www.google.com/search?q=A4478800712%20Mercedes-Benz" TargetMode="External"/><Relationship Id="rId33" Type="http://schemas.openxmlformats.org/officeDocument/2006/relationships/hyperlink" Target="https://www.google.com/search?q=3D0941165A%20Audi" TargetMode="External"/><Relationship Id="rId34" Type="http://schemas.openxmlformats.org/officeDocument/2006/relationships/hyperlink" Target="https://www.google.com/search?q=8T0941700B%20Audi" TargetMode="External"/><Relationship Id="rId35" Type="http://schemas.openxmlformats.org/officeDocument/2006/relationships/hyperlink" Target="https://www.google.com/search?q=8T0941699B%20Audi" TargetMode="External"/><Relationship Id="rId36" Type="http://schemas.openxmlformats.org/officeDocument/2006/relationships/hyperlink" Target="https://www.google.com/search?q=8R0807681M%20BJI%20Audi" TargetMode="External"/><Relationship Id="rId37" Type="http://schemas.openxmlformats.org/officeDocument/2006/relationships/hyperlink" Target="https://www.google.com/search?q=8R0807682J%20BJI%20Audi" TargetMode="External"/><Relationship Id="rId38" Type="http://schemas.openxmlformats.org/officeDocument/2006/relationships/hyperlink" Target="https://www.google.com/search?q=ZZT53801-26011%20Toyota" TargetMode="External"/><Relationship Id="rId39" Type="http://schemas.openxmlformats.org/officeDocument/2006/relationships/hyperlink" Target="https://www.google.com/search?q=53802-26031%20Toyota" TargetMode="External"/><Relationship Id="rId40" Type="http://schemas.openxmlformats.org/officeDocument/2006/relationships/hyperlink" Target="https://www.google.com/search?q=T53802-26021%20Toyota" TargetMode="External"/><Relationship Id="rId41" Type="http://schemas.openxmlformats.org/officeDocument/2006/relationships/hyperlink" Target="https://www.google.com/search?q=T53802-26021%20Toyota" TargetMode="External"/><Relationship Id="rId42" Type="http://schemas.openxmlformats.org/officeDocument/2006/relationships/hyperlink" Target="https://www.google.com/search?q=T53812-0D220%20Toyota" TargetMode="External"/><Relationship Id="rId43" Type="http://schemas.openxmlformats.org/officeDocument/2006/relationships/hyperlink" Target="https://www.google.com/search?q=T53812-B1320%20Toyota" TargetMode="External"/><Relationship Id="rId44" Type="http://schemas.openxmlformats.org/officeDocument/2006/relationships/hyperlink" Target="https://www.google.com/search?q=T53811-48210%20Toyota" TargetMode="External"/><Relationship Id="rId45" Type="http://schemas.openxmlformats.org/officeDocument/2006/relationships/hyperlink" Target="https://www.google.com/search?q=T53811-78010%20Toyota" TargetMode="External"/><Relationship Id="rId46" Type="http://schemas.openxmlformats.org/officeDocument/2006/relationships/hyperlink" Target="https://www.google.com/search?q=T53811-28180%20Toyota" TargetMode="External"/><Relationship Id="rId47" Type="http://schemas.openxmlformats.org/officeDocument/2006/relationships/hyperlink" Target="https://www.google.com/search?q=T53113-26060%20Toyota" TargetMode="External"/><Relationship Id="rId48" Type="http://schemas.openxmlformats.org/officeDocument/2006/relationships/hyperlink" Target="https://www.google.com/search?q=T53113-26060%20Toyota" TargetMode="External"/><Relationship Id="rId49" Type="http://schemas.openxmlformats.org/officeDocument/2006/relationships/hyperlink" Target="https://www.google.com/search?q=T53112-26070%20Toyota" TargetMode="External"/><Relationship Id="rId50" Type="http://schemas.openxmlformats.org/officeDocument/2006/relationships/hyperlink" Target="https://www.google.com/search?q=T53112-26070%20Toyota" TargetMode="External"/><Relationship Id="rId51" Type="http://schemas.openxmlformats.org/officeDocument/2006/relationships/hyperlink" Target="https://www.google.com/search?q=T53112-26070%20Toyota" TargetMode="External"/><Relationship Id="rId52" Type="http://schemas.openxmlformats.org/officeDocument/2006/relationships/hyperlink" Target="https://www.google.com/search?q=T53112-26070%20Toyota" TargetMode="External"/><Relationship Id="rId53" Type="http://schemas.openxmlformats.org/officeDocument/2006/relationships/hyperlink" Target="https://www.google.com/search?q=T53112-48150%20Toyota" TargetMode="External"/><Relationship Id="rId54" Type="http://schemas.openxmlformats.org/officeDocument/2006/relationships/hyperlink" Target="https://www.google.com/search?q=T53112-0D540%20Toyota" TargetMode="External"/><Relationship Id="rId55" Type="http://schemas.openxmlformats.org/officeDocument/2006/relationships/hyperlink" Target="https://www.google.com/search?q=T53216-06170%20Toyota" TargetMode="External"/><Relationship Id="rId56" Type="http://schemas.openxmlformats.org/officeDocument/2006/relationships/hyperlink" Target="https://www.google.com/search?q=T53201-26082%20KDH201%20Toyota" TargetMode="External"/><Relationship Id="rId57" Type="http://schemas.openxmlformats.org/officeDocument/2006/relationships/hyperlink" Target="https://www.google.com/search?q=T53201-26082%20Toyota" TargetMode="External"/><Relationship Id="rId58" Type="http://schemas.openxmlformats.org/officeDocument/2006/relationships/hyperlink" Target="https://www.google.com/search?q=T53201-26082%20Toyota" TargetMode="External"/><Relationship Id="rId59" Type="http://schemas.openxmlformats.org/officeDocument/2006/relationships/hyperlink" Target="https://www.google.com/search?q=T53201-26082%20Toyota" TargetMode="External"/><Relationship Id="rId60" Type="http://schemas.openxmlformats.org/officeDocument/2006/relationships/hyperlink" Target="https://www.google.com/search?q=T53205-28200%20Toyota" TargetMode="External"/><Relationship Id="rId61" Type="http://schemas.openxmlformats.org/officeDocument/2006/relationships/hyperlink" Target="https://www.google.com/search?q=MBA156%20888%2006%2000%209040%20Mercedes-Benz" TargetMode="External"/><Relationship Id="rId62" Type="http://schemas.openxmlformats.org/officeDocument/2006/relationships/hyperlink" Target="https://www.google.com/search?q=MBA156%20888%2024%2000%209040%20Mercedes-Benz" TargetMode="External"/><Relationship Id="rId63" Type="http://schemas.openxmlformats.org/officeDocument/2006/relationships/hyperlink" Target="https://www.google.com/search?q=MBA156%20880%2064%2000%20Mercedes-Benz" TargetMode="External"/><Relationship Id="rId64" Type="http://schemas.openxmlformats.org/officeDocument/2006/relationships/hyperlink" Target="https://www.google.com/search?q=MBA253%20620%2018%2001%20Mercedes-Benz" TargetMode="External"/><Relationship Id="rId65" Type="http://schemas.openxmlformats.org/officeDocument/2006/relationships/hyperlink" Target="https://www.google.com/search?q=MBA246%20620%2002%2034%2064%20Mercedes-Benz" TargetMode="External"/><Relationship Id="rId66" Type="http://schemas.openxmlformats.org/officeDocument/2006/relationships/hyperlink" Target="https://www.google.com/search?q=T81130-06590%20Toyota" TargetMode="External"/><Relationship Id="rId67" Type="http://schemas.openxmlformats.org/officeDocument/2006/relationships/hyperlink" Target="https://www.google.com/search?q=81130-0L011%20KDH200%20Toyota" TargetMode="External"/><Relationship Id="rId68" Type="http://schemas.openxmlformats.org/officeDocument/2006/relationships/hyperlink" Target="https://www.google.com/search?q=81170-0L011%20KDH200%20Toyota" TargetMode="External"/><Relationship Id="rId69" Type="http://schemas.openxmlformats.org/officeDocument/2006/relationships/hyperlink" Target="https://www.google.com/search?q=81130-0DF01%2FP90%20Toyota" TargetMode="External"/><Relationship Id="rId70" Type="http://schemas.openxmlformats.org/officeDocument/2006/relationships/hyperlink" Target="https://www.google.com/search?q=81170-0DF01%2FP90%20Toyota" TargetMode="External"/><Relationship Id="rId71" Type="http://schemas.openxmlformats.org/officeDocument/2006/relationships/hyperlink" Target="https://www.google.com/search?q=81130-0L011%20Toyota" TargetMode="External"/><Relationship Id="rId72" Type="http://schemas.openxmlformats.org/officeDocument/2006/relationships/hyperlink" Target="https://www.google.com/search?q=81170-0L011%20Toyota" TargetMode="External"/><Relationship Id="rId73" Type="http://schemas.openxmlformats.org/officeDocument/2006/relationships/hyperlink" Target="https://www.google.com/search?q=T81070-48890%20Toyota" TargetMode="External"/><Relationship Id="rId74" Type="http://schemas.openxmlformats.org/officeDocument/2006/relationships/hyperlink" Target="https://www.google.com/search?q=T81140-48440%20Toyota" TargetMode="External"/><Relationship Id="rId75" Type="http://schemas.openxmlformats.org/officeDocument/2006/relationships/hyperlink" Target="https://www.google.com/search?q=ZZT53112-02630%20Toyota" TargetMode="External"/><Relationship Id="rId76" Type="http://schemas.openxmlformats.org/officeDocument/2006/relationships/hyperlink" Target="https://www.google.com/search?q=ZZT53112-26070%20Toyota" TargetMode="External"/><Relationship Id="rId77" Type="http://schemas.openxmlformats.org/officeDocument/2006/relationships/hyperlink" Target="https://www.google.com/search?q=ZZT53112-26070%20Toyota" TargetMode="External"/><Relationship Id="rId78" Type="http://schemas.openxmlformats.org/officeDocument/2006/relationships/hyperlink" Target="https://www.google.com/search?q=ZZT53102-06120%20Toyota" TargetMode="External"/><Relationship Id="rId79" Type="http://schemas.openxmlformats.org/officeDocument/2006/relationships/hyperlink" Target="https://www.google.com/search?q=1774268-00-G%20Tesla" TargetMode="External"/><Relationship Id="rId80" Type="http://schemas.openxmlformats.org/officeDocument/2006/relationships/hyperlink" Target="https://www.google.com/search?q=1774268-00-G%20Tesla" TargetMode="External"/><Relationship Id="rId81" Type="http://schemas.openxmlformats.org/officeDocument/2006/relationships/hyperlink" Target="https://www.google.com/search?q=1774268-00-G%20Tesla" TargetMode="External"/><Relationship Id="rId82" Type="http://schemas.openxmlformats.org/officeDocument/2006/relationships/hyperlink" Target="https://www.google.com/search?q=1734299-00-H%20Tesla" TargetMode="External"/><Relationship Id="rId83" Type="http://schemas.openxmlformats.org/officeDocument/2006/relationships/hyperlink" Target="https://www.google.com/search?q=1734300-00-H%20Tesla" TargetMode="External"/><Relationship Id="rId84" Type="http://schemas.openxmlformats.org/officeDocument/2006/relationships/hyperlink" Target="https://www.google.com/search?q=1734299-00-H%20Tesla" TargetMode="External"/><Relationship Id="rId85" Type="http://schemas.openxmlformats.org/officeDocument/2006/relationships/hyperlink" Target="https://www.google.com/search?q=1734299-00-H%20Tesla" TargetMode="External"/><Relationship Id="rId86" Type="http://schemas.openxmlformats.org/officeDocument/2006/relationships/hyperlink" Target="https://www.google.com/search?q=1734299-00-H%20Tesla" TargetMode="External"/><Relationship Id="rId87" Type="http://schemas.openxmlformats.org/officeDocument/2006/relationships/hyperlink" Target="https://www.google.com/search?q=ZZT53301-26080%20Toyota" TargetMode="External"/><Relationship Id="rId88" Type="http://schemas.openxmlformats.org/officeDocument/2006/relationships/hyperlink" Target="https://www.google.com/search?q=53301-26080%20KDH200%2F1%20Toyota" TargetMode="External"/><Relationship Id="rId89" Type="http://schemas.openxmlformats.org/officeDocument/2006/relationships/hyperlink" Target="https://www.google.com/search?q=53301-26080%20Toyota" TargetMode="External"/><Relationship Id="rId90" Type="http://schemas.openxmlformats.org/officeDocument/2006/relationships/hyperlink" Target="https://www.google.com/search?q=53301-26080%20Toyota" TargetMode="External"/><Relationship Id="rId91" Type="http://schemas.openxmlformats.org/officeDocument/2006/relationships/hyperlink" Target="https://www.google.com/search?q=T53301-28160%20Toyota" TargetMode="External"/><Relationship Id="rId92" Type="http://schemas.openxmlformats.org/officeDocument/2006/relationships/hyperlink" Target="https://www.google.com/search?q=T53301-06200%20Toyota" TargetMode="External"/><Relationship Id="rId93" Type="http://schemas.openxmlformats.org/officeDocument/2006/relationships/hyperlink" Target="https://www.google.com/search?q=T53301-12B30%20Toyota" TargetMode="External"/><Relationship Id="rId94" Type="http://schemas.openxmlformats.org/officeDocument/2006/relationships/hyperlink" Target="https://www.google.com/search?q=53301-0D280%20Toyota" TargetMode="External"/><Relationship Id="rId95" Type="http://schemas.openxmlformats.org/officeDocument/2006/relationships/hyperlink" Target="https://www.google.com/search?q=MBA000%20817%2021%2016%20Mercedes-Benz" TargetMode="External"/><Relationship Id="rId96" Type="http://schemas.openxmlformats.org/officeDocument/2006/relationships/hyperlink" Target="https://www.google.com/search?q=MBA000%20817%2010%2016%20Mercedes-Benz" TargetMode="External"/><Relationship Id="rId97" Type="http://schemas.openxmlformats.org/officeDocument/2006/relationships/hyperlink" Target="https://www.google.com/search?q=X0008171016%20Mercedes-Benz" TargetMode="External"/><Relationship Id="rId98" Type="http://schemas.openxmlformats.org/officeDocument/2006/relationships/hyperlink" Target="https://www.google.com/search?q=X2078170016%20Mercedes-Benz" TargetMode="External"/><Relationship Id="rId99" Type="http://schemas.openxmlformats.org/officeDocument/2006/relationships/hyperlink" Target="https://www.google.com/search?q=16400-11A40%20Toyota" TargetMode="External"/><Relationship Id="rId100" Type="http://schemas.openxmlformats.org/officeDocument/2006/relationships/hyperlink" Target="https://www.google.com/search?q=T16400-47090%20Toyota" TargetMode="External"/><Relationship Id="rId101" Type="http://schemas.openxmlformats.org/officeDocument/2006/relationships/hyperlink" Target="https://www.google.com/search?q=T16400-30172-R%20Toyota" TargetMode="External"/><Relationship Id="rId102" Type="http://schemas.openxmlformats.org/officeDocument/2006/relationships/hyperlink" Target="https://www.google.com/search?q=16400-30174%20Toyota" TargetMode="External"/><Relationship Id="rId103" Type="http://schemas.openxmlformats.org/officeDocument/2006/relationships/hyperlink" Target="https://www.google.com/search?q=MBA156%20880%2000%2057%2064%20Mercedes-Benz" TargetMode="External"/><Relationship Id="rId104" Type="http://schemas.openxmlformats.org/officeDocument/2006/relationships/hyperlink" Target="https://www.google.com/search?q=MBA213%20880%2003%2057%20Mercedes-Benz" TargetMode="External"/><Relationship Id="rId105" Type="http://schemas.openxmlformats.org/officeDocument/2006/relationships/hyperlink" Target="https://www.google.com/search?q=MBA253%20880%2001%2057%2064%20Mercedes-Benz" TargetMode="External"/><Relationship Id="rId106" Type="http://schemas.openxmlformats.org/officeDocument/2006/relationships/hyperlink" Target="https://www.google.com/search?q=MBA253%20880%2001%2057%2064%20Mercedes-Ben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20.83203125" customWidth="1"/>
    <col min="2" max="2" width="120.83203125" customWidth="1"/>
  </cols>
  <sheetData>
    <row r="1">
      <c r="A1" t="str">
        <v>PartsIndex — data-validation worksheet</v>
      </c>
    </row>
    <row r="3">
      <c r="A3" t="str">
        <v>Question</v>
      </c>
      <c r="B3" t="str">
        <v>Is each wide price range real market variation, or does the benchmark mix different parts?</v>
      </c>
    </row>
    <row r="4">
      <c r="A4" t="str">
        <v>Data source</v>
      </c>
      <c r="B4" t="str">
        <v>https://mm-parts-index.vercel.app/api/parts (live shared reference, read-only)</v>
      </c>
    </row>
    <row r="5">
      <c r="A5" t="str">
        <v>Fetched</v>
      </c>
      <c r="B5" t="str">
        <v>2026-10-15T09:50:22.409Z</v>
      </c>
    </row>
    <row r="6">
      <c r="A6" t="str">
        <v>Snapshot id</v>
      </c>
      <c r="B6" t="str">
        <v>PIX-335e1802-6b06668c</v>
      </c>
    </row>
    <row r="7">
      <c r="A7" t="str">
        <v>Dataset</v>
      </c>
      <c r="B7" t="str">
        <v>1536 lines · 252 bills · 949 clusters · 45 with ≥4 quotes</v>
      </c>
    </row>
    <row r="8">
      <c r="A8" t="str">
        <v>Matching settings</v>
      </c>
      <c r="B8" t="str">
        <v>App defaults: {"mode":"fuzzy-name","threshold":0.65,"sameMake":true,"sameModel":false,"tokenWeight":0.6,"bridge":false,"sepGrade":true,"sepSide":false,"minQuotes":4,"maxAgeYears":0}</v>
      </c>
    </row>
    <row r="9">
      <c r="A9" t="str">
        <v>Sample</v>
      </c>
      <c r="B9" t="str">
        <v>16 clusters, 106 lines (5 of them tight controls)</v>
      </c>
    </row>
    <row r="11">
      <c r="A11" t="str">
        <v>How to fill in</v>
      </c>
    </row>
    <row r="12">
      <c r="A12" t="str">
        <v>1</v>
      </c>
      <c r="B12" t="str">
        <v>On the Lines sheet, work one cluster at a time. Lines are sorted cheapest first.</v>
      </c>
    </row>
    <row r="13">
      <c r="A13" t="str">
        <v>2</v>
      </c>
      <c r="B13" t="str">
        <v>Click the Google link. It searches the part number (more precise than the name). Identify what the part is and which vehicle it fits.</v>
      </c>
    </row>
    <row r="14">
      <c r="A14" t="str">
        <v>3</v>
      </c>
      <c r="B14" t="str">
        <v>Enter a CAUSE code (see Causes sheet) for every line. Judge each line against the cluster's typical part, not against the median price.</v>
      </c>
    </row>
    <row r="15">
      <c r="A15" t="str">
        <v>4</v>
      </c>
      <c r="B15" t="str">
        <v>A market price is optional. Public prices are a sanity check only: SG pricing is poorly indexed and US prices are not comparable (QA.md §9).</v>
      </c>
    </row>
    <row r="16">
      <c r="A16" t="str">
        <v>5</v>
      </c>
      <c r="B16" t="str">
        <v>On the Clusters sheet, give a VERDICT: REAL (range is genuine), MIXED (contains different parts), or UNSURE.</v>
      </c>
    </row>
    <row r="17">
      <c r="A17" t="str">
        <v>6</v>
      </c>
      <c r="B17" t="str">
        <v>The Summary sheet counts the CAUSE codes automatically.</v>
      </c>
    </row>
    <row r="19">
      <c r="A19" t="str">
        <v>Reading the result</v>
      </c>
      <c r="B19" t="str">
        <v>Mostly SAME → the ranges are real and median statistics are adequate. Mostly SUBPART / VEHICLE / POSITION → the matching logic, not the statistics, needs fixing.</v>
      </c>
    </row>
    <row r="20">
      <c r="A20" t="str">
        <v>Controls</v>
      </c>
      <c r="B20" t="str">
        <v>The tight clusters are a control: they should come back almost entirely SAME. If they don't, the review criteria are too strict.</v>
      </c>
    </row>
  </sheetData>
  <ignoredErrors>
    <ignoredError numberStoredAsText="1" sqref="A1:B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10.83203125" customWidth="1"/>
    <col min="2" max="2" width="75.83203125" customWidth="1"/>
    <col min="3" max="3" width="8.83203125" customWidth="1"/>
    <col min="4" max="4" width="20.83203125" customWidth="1"/>
  </cols>
  <sheetData>
    <row r="1">
      <c r="A1" t="str">
        <v>Cause</v>
      </c>
      <c r="B1" t="str">
        <v>Meaning</v>
      </c>
      <c r="C1" t="str">
        <v>Lines</v>
      </c>
      <c r="D1" t="str">
        <v>Share of coded lines</v>
      </c>
    </row>
    <row r="2">
      <c r="A2" t="str">
        <v>SAME</v>
      </c>
      <c r="B2" t="str">
        <v>Same part — price difference is genuine market variation</v>
      </c>
      <c r="C2">
        <f>COUNTIF(Lines!$W$2:$W$107,A2)</f>
        <v>0</v>
      </c>
      <c r="D2" s="1">
        <f>IFERROR(C2/(COUNTA(Lines!$W$2:$W$107)),0)</f>
        <v>0</v>
      </c>
    </row>
    <row r="3">
      <c r="A3" t="str">
        <v>SUBPART</v>
      </c>
      <c r="B3" t="str">
        <v>Different part — sub-component, bracket, clip or cover vs the full assembly</v>
      </c>
      <c r="C3">
        <f>COUNTIF(Lines!$W$2:$W$107,A3)</f>
        <v>0</v>
      </c>
      <c r="D3" s="1">
        <f>IFERROR(C3/(COUNTA(Lines!$W$2:$W$107)),0)</f>
        <v>0</v>
      </c>
    </row>
    <row r="4">
      <c r="A4" t="str">
        <v>VEHICLE</v>
      </c>
      <c r="B4" t="str">
        <v>Same part name, but for a different vehicle/model (not interchangeable)</v>
      </c>
      <c r="C4">
        <f>COUNTIF(Lines!$W$2:$W$107,A4)</f>
        <v>0</v>
      </c>
      <c r="D4" s="1">
        <f>IFERROR(C4/(COUNTA(Lines!$W$2:$W$107)),0)</f>
        <v>0</v>
      </c>
    </row>
    <row r="5">
      <c r="A5" t="str">
        <v>POSITION</v>
      </c>
      <c r="B5" t="str">
        <v>Different position (front/rear, upper/lower, inner/outer)</v>
      </c>
      <c r="C5">
        <f>COUNTIF(Lines!$W$2:$W$107,A5)</f>
        <v>0</v>
      </c>
      <c r="D5" s="1">
        <f>IFERROR(C5/(COUNTA(Lines!$W$2:$W$107)),0)</f>
        <v>0</v>
      </c>
    </row>
    <row r="6">
      <c r="A6" t="str">
        <v>GRADE</v>
      </c>
      <c r="B6" t="str">
        <v>Different grade (genuine vs aftermarket vs used/recon)</v>
      </c>
      <c r="C6">
        <f>COUNTIF(Lines!$W$2:$W$107,A6)</f>
        <v>0</v>
      </c>
      <c r="D6" s="1">
        <f>IFERROR(C6/(COUNTA(Lines!$W$2:$W$107)),0)</f>
        <v>0</v>
      </c>
    </row>
    <row r="7">
      <c r="A7" t="str">
        <v>PAIR</v>
      </c>
      <c r="B7" t="str">
        <v>Line prices a pair or set, not a single unit</v>
      </c>
      <c r="C7">
        <f>COUNTIF(Lines!$W$2:$W$107,A7)</f>
        <v>0</v>
      </c>
      <c r="D7" s="1">
        <f>IFERROR(C7/(COUNTA(Lines!$W$2:$W$107)),0)</f>
        <v>0</v>
      </c>
    </row>
    <row r="8">
      <c r="A8" t="str">
        <v>OCR</v>
      </c>
      <c r="B8" t="str">
        <v>OCR error — misread price, part number, or value bled from another row</v>
      </c>
      <c r="C8">
        <f>COUNTIF(Lines!$W$2:$W$107,A8)</f>
        <v>0</v>
      </c>
      <c r="D8" s="1">
        <f>IFERROR(C8/(COUNTA(Lines!$W$2:$W$107)),0)</f>
        <v>0</v>
      </c>
    </row>
    <row r="9">
      <c r="A9" t="str">
        <v>UNKNOWN</v>
      </c>
      <c r="B9" t="str">
        <v>Cannot tell from the bill and an online lookup</v>
      </c>
      <c r="C9">
        <f>COUNTIF(Lines!$W$2:$W$107,A9)</f>
        <v>0</v>
      </c>
      <c r="D9" s="1">
        <f>IFERROR(C9/(COUNTA(Lines!$W$2:$W$107)),0)</f>
        <v>0</v>
      </c>
    </row>
    <row r="10">
      <c r="A10" t="str">
        <v>(blank)</v>
      </c>
      <c r="B10" t="str">
        <v>Not yet coded</v>
      </c>
      <c r="C10">
        <f>COUNTBLANK(Lines!$W$2:$W$107)</f>
        <v>0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cols>
    <col min="1" max="1" width="10.83203125" customWidth="1"/>
    <col min="2" max="2" width="34.83203125" customWidth="1"/>
    <col min="3" max="3" width="17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1.83203125" customWidth="1"/>
    <col min="9" max="9" width="16.83203125" customWidth="1"/>
    <col min="10" max="10" width="19.83203125" customWidth="1"/>
    <col min="11" max="11" width="17.83203125" customWidth="1"/>
    <col min="12" max="12" width="10.83203125" customWidth="1"/>
    <col min="13" max="13" width="10.83203125" customWidth="1"/>
    <col min="14" max="14" width="11.83203125" customWidth="1"/>
    <col min="15" max="15" width="10.83203125" customWidth="1"/>
    <col min="16" max="16" width="10.83203125" customWidth="1"/>
    <col min="17" max="17" width="10.83203125" customWidth="1"/>
    <col min="18" max="18" width="60.83203125" customWidth="1"/>
    <col min="19" max="19" width="16.83203125" customWidth="1"/>
    <col min="20" max="20" width="14.83203125" customWidth="1"/>
  </cols>
  <sheetData>
    <row r="1">
      <c r="A1" t="str">
        <v>Cluster</v>
      </c>
      <c r="B1" t="str">
        <v>Why sampled</v>
      </c>
      <c r="C1" t="str">
        <v>Benchmark label</v>
      </c>
      <c r="D1" t="str">
        <v>Make</v>
      </c>
      <c r="E1" t="str">
        <v>Category</v>
      </c>
      <c r="F1" t="str">
        <v>Models</v>
      </c>
      <c r="G1" t="str">
        <v>Quotes</v>
      </c>
      <c r="H1" t="str">
        <v>Suppliers</v>
      </c>
      <c r="I1" t="str">
        <v>Distinct bills</v>
      </c>
      <c r="J1" t="str">
        <v>Distinct part nos</v>
      </c>
      <c r="K1" t="str">
        <v>Distinct prices</v>
      </c>
      <c r="L1" t="str">
        <v>Grades</v>
      </c>
      <c r="M1" t="str">
        <v>Min S$</v>
      </c>
      <c r="N1" t="str">
        <v>Median S$</v>
      </c>
      <c r="O1" t="str">
        <v>Max S$</v>
      </c>
      <c r="P1" t="str">
        <v>Max/Min</v>
      </c>
      <c r="Q1" t="str">
        <v>CV %</v>
      </c>
      <c r="R1" t="str">
        <v>Part names in cluster</v>
      </c>
      <c r="S1" t="str">
        <v>VERDICT (fill)</v>
      </c>
      <c r="T1" t="str">
        <v>Notes (fill)</v>
      </c>
    </row>
    <row r="2">
      <c r="A2" t="str">
        <v>C01</v>
      </c>
      <c r="B2" t="str">
        <v>Wide range (max/min ≥ 5×); High spread (CV ≥ 50%)</v>
      </c>
      <c r="C2" t="str">
        <v>Cover Bumper</v>
      </c>
      <c r="D2" t="str">
        <v>Mercedes-Benz</v>
      </c>
      <c r="E2" t="str">
        <v>Front Bumper</v>
      </c>
      <c r="F2" t="str">
        <v>(none recorded)</v>
      </c>
      <c r="G2">
        <v>7</v>
      </c>
      <c r="H2">
        <v>3</v>
      </c>
      <c r="I2">
        <v>5</v>
      </c>
      <c r="J2">
        <v>7</v>
      </c>
      <c r="K2">
        <v>6</v>
      </c>
      <c r="L2" t="str">
        <v>Unknown</v>
      </c>
      <c r="M2">
        <v>5</v>
      </c>
      <c r="N2">
        <v>120</v>
      </c>
      <c r="O2">
        <v>620</v>
      </c>
      <c r="P2">
        <v>124</v>
      </c>
      <c r="Q2">
        <v>119.4</v>
      </c>
      <c r="R2" t="str">
        <v>Cover Bumper | COVER, BUMPER AREA | COVER BUMPER AREA | COVER BUMPER</v>
      </c>
      <c r="S2" t="str">
        <v/>
      </c>
      <c r="T2" t="str">
        <v/>
      </c>
    </row>
    <row r="3">
      <c r="A3" t="str">
        <v>C02</v>
      </c>
      <c r="B3" t="str">
        <v>Wide range (max/min ≥ 5×); High spread (CV ≥ 50%); Headlamp (example raised on the call)</v>
      </c>
      <c r="C3" t="str">
        <v>HEADLAMP LH</v>
      </c>
      <c r="D3" t="str">
        <v>Toyota</v>
      </c>
      <c r="E3" t="str">
        <v>Headlamp</v>
      </c>
      <c r="F3" t="str">
        <v>ZRE171, Sienta, ASV51, KDH201</v>
      </c>
      <c r="G3">
        <v>14</v>
      </c>
      <c r="H3">
        <v>4</v>
      </c>
      <c r="I3">
        <v>11</v>
      </c>
      <c r="J3">
        <v>13</v>
      </c>
      <c r="K3">
        <v>10</v>
      </c>
      <c r="L3" t="str">
        <v>Unknown</v>
      </c>
      <c r="M3">
        <v>185</v>
      </c>
      <c r="N3">
        <v>475</v>
      </c>
      <c r="O3">
        <v>3600</v>
      </c>
      <c r="P3">
        <v>19.46</v>
      </c>
      <c r="Q3">
        <v>108.5</v>
      </c>
      <c r="R3" t="str">
        <v>HEADLAMP LH | HEADLAMP | HEADLAMP RH | HEADLAMP UNIT LH | HEADLAMP ASSY LH | HEADLAMP UNIT RH</v>
      </c>
      <c r="S3" t="str">
        <v/>
      </c>
      <c r="T3" t="str">
        <v/>
      </c>
    </row>
    <row r="4">
      <c r="A4" t="str">
        <v>C03</v>
      </c>
      <c r="B4" t="str">
        <v>Wide range (max/min ≥ 5×); High spread (CV ≥ 50%)</v>
      </c>
      <c r="C4" t="str">
        <v>ASSEMBLY - FENDER SUPPORT - LEFT HAND</v>
      </c>
      <c r="D4" t="str">
        <v>Tesla</v>
      </c>
      <c r="E4" t="str">
        <v>Fender</v>
      </c>
      <c r="F4" t="str">
        <v>Model 3</v>
      </c>
      <c r="G4">
        <v>7</v>
      </c>
      <c r="H4">
        <v>2</v>
      </c>
      <c r="I4">
        <v>3</v>
      </c>
      <c r="J4">
        <v>3</v>
      </c>
      <c r="K4">
        <v>2</v>
      </c>
      <c r="L4" t="str">
        <v>Unknown</v>
      </c>
      <c r="M4">
        <v>24.82</v>
      </c>
      <c r="N4">
        <v>436.29</v>
      </c>
      <c r="O4">
        <v>436.29</v>
      </c>
      <c r="P4">
        <v>17.58</v>
      </c>
      <c r="Q4">
        <v>84.6</v>
      </c>
      <c r="R4" t="str">
        <v>ASSEMBLY - FENDER SUPPORT - LEFT HAND | ASSEMBLY - FENDER - LEFT HAND</v>
      </c>
      <c r="S4" t="str">
        <v/>
      </c>
      <c r="T4" t="str">
        <v/>
      </c>
    </row>
    <row r="5">
      <c r="A5" t="str">
        <v>C04</v>
      </c>
      <c r="B5" t="str">
        <v>Wide range (max/min ≥ 5×); High spread (CV ≥ 50%)</v>
      </c>
      <c r="C5" t="str">
        <v>Mounting Rail</v>
      </c>
      <c r="D5" t="str">
        <v>Mercedes-Benz</v>
      </c>
      <c r="E5" t="str">
        <v>Other</v>
      </c>
      <c r="F5" t="str">
        <v>(none recorded)</v>
      </c>
      <c r="G5">
        <v>4</v>
      </c>
      <c r="H5">
        <v>3</v>
      </c>
      <c r="I5">
        <v>3</v>
      </c>
      <c r="J5">
        <v>4</v>
      </c>
      <c r="K5">
        <v>3</v>
      </c>
      <c r="L5" t="str">
        <v>Unknown</v>
      </c>
      <c r="M5">
        <v>10</v>
      </c>
      <c r="N5">
        <v>42.5</v>
      </c>
      <c r="O5">
        <v>65</v>
      </c>
      <c r="P5">
        <v>6.5</v>
      </c>
      <c r="Q5">
        <v>72.9</v>
      </c>
      <c r="R5" t="str">
        <v>Mounting Rail | MOUNTING RAIL | MOUNTING RAIL FRT LH | MOUNTING RAIL FRT RH</v>
      </c>
      <c r="S5" t="str">
        <v/>
      </c>
      <c r="T5" t="str">
        <v/>
      </c>
    </row>
    <row r="6">
      <c r="A6" t="str">
        <v>C05</v>
      </c>
      <c r="B6" t="str">
        <v>Wide range (max/min ≥ 5×)</v>
      </c>
      <c r="C6" t="str">
        <v>Front Bumper Fog Lamp RH</v>
      </c>
      <c r="D6" t="str">
        <v>Audi</v>
      </c>
      <c r="E6" t="str">
        <v>Fog Lamp</v>
      </c>
      <c r="F6" t="str">
        <v>Q5</v>
      </c>
      <c r="G6">
        <v>5</v>
      </c>
      <c r="H6">
        <v>1</v>
      </c>
      <c r="I6">
        <v>4</v>
      </c>
      <c r="J6">
        <v>5</v>
      </c>
      <c r="K6">
        <v>3</v>
      </c>
      <c r="L6" t="str">
        <v>Unknown</v>
      </c>
      <c r="M6">
        <v>20</v>
      </c>
      <c r="N6">
        <v>95</v>
      </c>
      <c r="O6">
        <v>125</v>
      </c>
      <c r="P6">
        <v>6.25</v>
      </c>
      <c r="Q6">
        <v>46.7</v>
      </c>
      <c r="R6" t="str">
        <v>Front Bumper Fog Lamp RH | Front Bumper Fog Lamp LH | Front Bumper Fog Lamp Connector LH | Front Bumper Fog Lamp Cover LH | Front Bumper Fog Lamp Cover RH</v>
      </c>
      <c r="S6" t="str">
        <v/>
      </c>
      <c r="T6" t="str">
        <v/>
      </c>
    </row>
    <row r="7">
      <c r="A7" t="str">
        <v>C06</v>
      </c>
      <c r="B7" t="str">
        <v>Wide range (max/min ≥ 5×); High spread (CV ≥ 50%)</v>
      </c>
      <c r="C7" t="str">
        <v>FR FENDER LH</v>
      </c>
      <c r="D7" t="str">
        <v>Toyota</v>
      </c>
      <c r="E7" t="str">
        <v>Fender</v>
      </c>
      <c r="F7" t="str">
        <v>Sienta, KDH201, Hiace KDH200/KDH201, Hiace KDH200</v>
      </c>
      <c r="G7">
        <v>9</v>
      </c>
      <c r="H7">
        <v>3</v>
      </c>
      <c r="I7">
        <v>9</v>
      </c>
      <c r="J7">
        <v>8</v>
      </c>
      <c r="K7">
        <v>8</v>
      </c>
      <c r="L7" t="str">
        <v>Unknown</v>
      </c>
      <c r="M7">
        <v>75</v>
      </c>
      <c r="N7">
        <v>210</v>
      </c>
      <c r="O7">
        <v>380</v>
      </c>
      <c r="P7">
        <v>5.07</v>
      </c>
      <c r="Q7">
        <v>59.6</v>
      </c>
      <c r="R7" t="str">
        <v>FR FENDER LH | FR FENDER RH | FRT FENDER LH | FRT FENDER RH</v>
      </c>
      <c r="S7" t="str">
        <v/>
      </c>
      <c r="T7" t="str">
        <v/>
      </c>
    </row>
    <row r="8">
      <c r="A8" t="str">
        <v>C07</v>
      </c>
      <c r="B8" t="str">
        <v>Wide range (max/min ≥ 5×); High spread (CV ≥ 50%)</v>
      </c>
      <c r="C8" t="str">
        <v>FRT BUMPER GRILLE LH</v>
      </c>
      <c r="D8" t="str">
        <v>Toyota</v>
      </c>
      <c r="E8" t="str">
        <v>Grille</v>
      </c>
      <c r="F8" t="str">
        <v>Vios, Hiace KDH200/KDH201, Hiace KDH200</v>
      </c>
      <c r="G8">
        <v>8</v>
      </c>
      <c r="H8">
        <v>1</v>
      </c>
      <c r="I8">
        <v>8</v>
      </c>
      <c r="J8">
        <v>4</v>
      </c>
      <c r="K8">
        <v>8</v>
      </c>
      <c r="L8" t="str">
        <v>Unknown</v>
      </c>
      <c r="M8">
        <v>40</v>
      </c>
      <c r="N8">
        <v>82.5</v>
      </c>
      <c r="O8">
        <v>200</v>
      </c>
      <c r="P8">
        <v>5</v>
      </c>
      <c r="Q8">
        <v>55.3</v>
      </c>
      <c r="R8" t="str">
        <v>FRT BUMPER GRILLE LH | FRT BUMPER LWR GRILLE</v>
      </c>
      <c r="S8" t="str">
        <v/>
      </c>
      <c r="T8" t="str">
        <v/>
      </c>
    </row>
    <row r="9">
      <c r="A9" t="str">
        <v>C08</v>
      </c>
      <c r="B9" t="str">
        <v>High spread (CV ≥ 50%)</v>
      </c>
      <c r="C9" t="str">
        <v>SUPPORT PANEL</v>
      </c>
      <c r="D9" t="str">
        <v>Toyota</v>
      </c>
      <c r="E9" t="str">
        <v>Structural Panel</v>
      </c>
      <c r="F9" t="str">
        <v>Hiace KDH200, Hiace KDH200/KDH201, Camry</v>
      </c>
      <c r="G9">
        <v>6</v>
      </c>
      <c r="H9">
        <v>2</v>
      </c>
      <c r="I9">
        <v>6</v>
      </c>
      <c r="J9">
        <v>4</v>
      </c>
      <c r="K9">
        <v>6</v>
      </c>
      <c r="L9" t="str">
        <v>Unknown</v>
      </c>
      <c r="M9">
        <v>135</v>
      </c>
      <c r="N9">
        <v>185</v>
      </c>
      <c r="O9">
        <v>600</v>
      </c>
      <c r="P9">
        <v>4.44</v>
      </c>
      <c r="Q9">
        <v>68.8</v>
      </c>
      <c r="R9" t="str">
        <v>SUPPORT PANEL | SUPPORT PANEL 11" | SUPPORT PANEL TOP</v>
      </c>
      <c r="S9" t="str">
        <v/>
      </c>
      <c r="T9" t="str">
        <v/>
      </c>
    </row>
    <row r="10">
      <c r="A10" t="str">
        <v>C09</v>
      </c>
      <c r="B10" t="str">
        <v>High spread (CV ≥ 50%)</v>
      </c>
      <c r="C10" t="str">
        <v>CARRIER</v>
      </c>
      <c r="D10" t="str">
        <v>Mercedes-Benz</v>
      </c>
      <c r="E10" t="str">
        <v>Other</v>
      </c>
      <c r="F10" t="str">
        <v>(none recorded)</v>
      </c>
      <c r="G10">
        <v>5</v>
      </c>
      <c r="H10">
        <v>1</v>
      </c>
      <c r="I10">
        <v>2</v>
      </c>
      <c r="J10">
        <v>5</v>
      </c>
      <c r="K10">
        <v>4</v>
      </c>
      <c r="L10" t="str">
        <v>Unknown</v>
      </c>
      <c r="M10">
        <v>195</v>
      </c>
      <c r="N10">
        <v>280</v>
      </c>
      <c r="O10">
        <v>820</v>
      </c>
      <c r="P10">
        <v>4.21</v>
      </c>
      <c r="Q10">
        <v>70.5</v>
      </c>
      <c r="R10" t="str">
        <v>CARRIER | ASSY. CARRIER, FRONT</v>
      </c>
      <c r="S10" t="str">
        <v/>
      </c>
      <c r="T10" t="str">
        <v/>
      </c>
    </row>
    <row r="11">
      <c r="A11" t="str">
        <v>C10</v>
      </c>
      <c r="B11" t="str">
        <v>High spread (CV ≥ 50%); Headlamp (example raised on the call)</v>
      </c>
      <c r="C11" t="str">
        <v>Head Lamp RH 09" (TH)</v>
      </c>
      <c r="D11" t="str">
        <v>Toyota</v>
      </c>
      <c r="E11" t="str">
        <v>Headlamp</v>
      </c>
      <c r="F11" t="str">
        <v>Camry, Vios, Hiace KDH200, Hiace KDH200/KDH201</v>
      </c>
      <c r="G11">
        <v>9</v>
      </c>
      <c r="H11">
        <v>2</v>
      </c>
      <c r="I11">
        <v>5</v>
      </c>
      <c r="J11">
        <v>9</v>
      </c>
      <c r="K11">
        <v>5</v>
      </c>
      <c r="L11" t="str">
        <v>Unknown</v>
      </c>
      <c r="M11">
        <v>310</v>
      </c>
      <c r="N11">
        <v>350</v>
      </c>
      <c r="O11">
        <v>1100</v>
      </c>
      <c r="P11">
        <v>3.55</v>
      </c>
      <c r="Q11">
        <v>64.7</v>
      </c>
      <c r="R11" t="str">
        <v>Head Lamp RH 09" (TH) | HEAD LAMP RH | HEAD LAMP LH</v>
      </c>
      <c r="S11" t="str">
        <v/>
      </c>
      <c r="T11" t="str">
        <v/>
      </c>
    </row>
    <row r="12">
      <c r="A12" t="str">
        <v>C11</v>
      </c>
      <c r="B12" t="str">
        <v>High spread (CV ≥ 50%)</v>
      </c>
      <c r="C12" t="str">
        <v>F/B LOWER GRILLE</v>
      </c>
      <c r="D12" t="str">
        <v>Toyota</v>
      </c>
      <c r="E12" t="str">
        <v>Grille</v>
      </c>
      <c r="F12" t="str">
        <v>ZRE171, ASV51, KDH201</v>
      </c>
      <c r="G12">
        <v>4</v>
      </c>
      <c r="H12">
        <v>1</v>
      </c>
      <c r="I12">
        <v>4</v>
      </c>
      <c r="J12">
        <v>3</v>
      </c>
      <c r="K12">
        <v>3</v>
      </c>
      <c r="L12" t="str">
        <v>Unknown</v>
      </c>
      <c r="M12">
        <v>65</v>
      </c>
      <c r="N12">
        <v>75</v>
      </c>
      <c r="O12">
        <v>220</v>
      </c>
      <c r="P12">
        <v>3.38</v>
      </c>
      <c r="Q12">
        <v>68.3</v>
      </c>
      <c r="R12" t="str">
        <v>F/B LOWER GRILLE | F/B LOWER CENTRE GRILLE</v>
      </c>
      <c r="S12" t="str">
        <v/>
      </c>
      <c r="T12" t="str">
        <v/>
      </c>
    </row>
    <row r="13">
      <c r="A13" t="str">
        <v>C12</v>
      </c>
      <c r="B13" t="str">
        <v>Control (tightest spread: CV 22%, ≥2 suppliers)</v>
      </c>
      <c r="C13" t="str">
        <v>BRACKET- FASCIA FRT CTR TO FDR LH</v>
      </c>
      <c r="D13" t="str">
        <v>Tesla</v>
      </c>
      <c r="E13" t="str">
        <v>Other</v>
      </c>
      <c r="F13" t="str">
        <v>Model 3</v>
      </c>
      <c r="G13">
        <v>8</v>
      </c>
      <c r="H13">
        <v>2</v>
      </c>
      <c r="I13">
        <v>6</v>
      </c>
      <c r="J13">
        <v>3</v>
      </c>
      <c r="K13">
        <v>2</v>
      </c>
      <c r="L13" t="str">
        <v>Unknown, OEM Genuine</v>
      </c>
      <c r="M13">
        <v>7.1</v>
      </c>
      <c r="N13">
        <v>11.28</v>
      </c>
      <c r="O13">
        <v>11.28</v>
      </c>
      <c r="P13">
        <v>1.59</v>
      </c>
      <c r="Q13">
        <v>22.3</v>
      </c>
      <c r="R13" t="str">
        <v>BRACKET- FASCIA FRT CTR TO FDR LH | BRACKET- FASCIA FRT CTR TO FDR RH | BRACKET - FASCIA SIDE TO FDR LH | BRACKET-FASCIA FRT CTR TO FDR LH</v>
      </c>
      <c r="S13" t="str">
        <v/>
      </c>
      <c r="T13" t="str">
        <v/>
      </c>
    </row>
    <row r="14">
      <c r="A14" t="str">
        <v>C13</v>
      </c>
      <c r="B14" t="str">
        <v>Control (tightest spread: CV 15%, ≥2 suppliers)</v>
      </c>
      <c r="C14" t="str">
        <v>FRT BONNET</v>
      </c>
      <c r="D14" t="str">
        <v>Toyota</v>
      </c>
      <c r="E14" t="str">
        <v>Hood/Bonnet</v>
      </c>
      <c r="F14" t="str">
        <v>Hiace KDH201, Hiace KDH200, Hiace KDH200/KDH201, Camry, KDH201</v>
      </c>
      <c r="G14">
        <v>8</v>
      </c>
      <c r="H14">
        <v>3</v>
      </c>
      <c r="I14">
        <v>8</v>
      </c>
      <c r="J14">
        <v>7</v>
      </c>
      <c r="K14">
        <v>8</v>
      </c>
      <c r="L14" t="str">
        <v>Unknown</v>
      </c>
      <c r="M14">
        <v>260</v>
      </c>
      <c r="N14">
        <v>345</v>
      </c>
      <c r="O14">
        <v>400</v>
      </c>
      <c r="P14">
        <v>1.54</v>
      </c>
      <c r="Q14">
        <v>15.1</v>
      </c>
      <c r="R14" t="str">
        <v>FRT BONNET | BONNET</v>
      </c>
      <c r="S14" t="str">
        <v/>
      </c>
      <c r="T14" t="str">
        <v/>
      </c>
    </row>
    <row r="15">
      <c r="A15" t="str">
        <v>C14</v>
      </c>
      <c r="B15" t="str">
        <v>Control (tightest spread: CV 20%, ≥2 suppliers)</v>
      </c>
      <c r="C15" t="str">
        <v>MERCEDES STAR(GRILLE)</v>
      </c>
      <c r="D15" t="str">
        <v>Mercedes-Benz</v>
      </c>
      <c r="E15" t="str">
        <v>Grille</v>
      </c>
      <c r="F15" t="str">
        <v>(none recorded)</v>
      </c>
      <c r="G15">
        <v>4</v>
      </c>
      <c r="H15">
        <v>2</v>
      </c>
      <c r="I15">
        <v>4</v>
      </c>
      <c r="J15">
        <v>4</v>
      </c>
      <c r="K15">
        <v>4</v>
      </c>
      <c r="L15" t="str">
        <v>Unknown</v>
      </c>
      <c r="M15">
        <v>84</v>
      </c>
      <c r="N15">
        <v>105</v>
      </c>
      <c r="O15">
        <v>125</v>
      </c>
      <c r="P15">
        <v>1.49</v>
      </c>
      <c r="Q15">
        <v>19.8</v>
      </c>
      <c r="R15" t="str">
        <v>MERCEDES STAR(GRILLE) | MERCEDES STAR | MERCEDES STAR GRILLE</v>
      </c>
      <c r="S15" t="str">
        <v/>
      </c>
      <c r="T15" t="str">
        <v/>
      </c>
    </row>
    <row r="16">
      <c r="A16" t="str">
        <v>C15</v>
      </c>
      <c r="B16" t="str">
        <v>Control (tightest spread: CV 17%, ≥2 suppliers)</v>
      </c>
      <c r="C16" t="str">
        <v>RADIATOR</v>
      </c>
      <c r="D16" t="str">
        <v>Toyota</v>
      </c>
      <c r="E16" t="str">
        <v>Radiator/Cooling</v>
      </c>
      <c r="F16" t="str">
        <v>Hiace, Hiace KDH200/KDH201</v>
      </c>
      <c r="G16">
        <v>4</v>
      </c>
      <c r="H16">
        <v>2</v>
      </c>
      <c r="I16">
        <v>4</v>
      </c>
      <c r="J16">
        <v>4</v>
      </c>
      <c r="K16">
        <v>4</v>
      </c>
      <c r="L16" t="str">
        <v>Unknown</v>
      </c>
      <c r="M16">
        <v>600</v>
      </c>
      <c r="N16">
        <v>665</v>
      </c>
      <c r="O16">
        <v>880</v>
      </c>
      <c r="P16">
        <v>1.47</v>
      </c>
      <c r="Q16">
        <v>17.5</v>
      </c>
      <c r="R16" t="str">
        <v>RADIATOR</v>
      </c>
      <c r="S16" t="str">
        <v/>
      </c>
      <c r="T16" t="str">
        <v/>
      </c>
    </row>
    <row r="17">
      <c r="A17" t="str">
        <v>C16</v>
      </c>
      <c r="B17" t="str">
        <v>Control (tightest spread: CV 11%, ≥2 suppliers)</v>
      </c>
      <c r="C17" t="str">
        <v>Hood</v>
      </c>
      <c r="D17" t="str">
        <v>Mercedes-Benz</v>
      </c>
      <c r="E17" t="str">
        <v>Hood/Bonnet</v>
      </c>
      <c r="F17" t="str">
        <v>(none recorded)</v>
      </c>
      <c r="G17">
        <v>4</v>
      </c>
      <c r="H17">
        <v>2</v>
      </c>
      <c r="I17">
        <v>4</v>
      </c>
      <c r="J17">
        <v>3</v>
      </c>
      <c r="K17">
        <v>4</v>
      </c>
      <c r="L17" t="str">
        <v>Unknown</v>
      </c>
      <c r="M17">
        <v>1150</v>
      </c>
      <c r="N17">
        <v>1274.5</v>
      </c>
      <c r="O17">
        <v>1480</v>
      </c>
      <c r="P17">
        <v>1.29</v>
      </c>
      <c r="Q17">
        <v>11.4</v>
      </c>
      <c r="R17" t="str">
        <v>Hood | HOOD</v>
      </c>
      <c r="S17" t="str">
        <v/>
      </c>
      <c r="T17" t="str">
        <v/>
      </c>
    </row>
  </sheetData>
  <autoFilter ref="A1:T17"/>
  <ignoredErrors>
    <ignoredError numberStoredAsText="1" sqref="A1:T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107"/>
  <sheetViews>
    <sheetView workbookViewId="0"/>
  </sheetViews>
  <cols>
    <col min="1" max="1" width="9.83203125" customWidth="1"/>
    <col min="2" max="2" width="17.83203125" customWidth="1"/>
    <col min="3" max="3" width="19.83203125" customWidth="1"/>
    <col min="4" max="4" width="9.83203125" customWidth="1"/>
    <col min="5" max="5" width="10.83203125" customWidth="1"/>
    <col min="6" max="6" width="34.83203125" customWidth="1"/>
    <col min="7" max="7" width="25.83203125" customWidth="1"/>
    <col min="8" max="8" width="20.83203125" customWidth="1"/>
    <col min="9" max="9" width="9.83203125" customWidth="1"/>
    <col min="10" max="10" width="9.83203125" customWidth="1"/>
    <col min="11" max="11" width="9.83203125" customWidth="1"/>
    <col min="12" max="12" width="12.83203125" customWidth="1"/>
    <col min="13" max="13" width="9.83203125" customWidth="1"/>
    <col min="14" max="14" width="15.83203125" customWidth="1"/>
    <col min="15" max="15" width="9.83203125" customWidth="1"/>
    <col min="16" max="16" width="26.83203125" customWidth="1"/>
    <col min="17" max="17" width="9.83203125" customWidth="1"/>
    <col min="18" max="18" width="11.83203125" customWidth="1"/>
    <col min="19" max="19" width="9.83203125" customWidth="1"/>
    <col min="20" max="20" width="9.83203125" customWidth="1"/>
    <col min="21" max="21" width="34.83203125" customWidth="1"/>
    <col min="22" max="22" width="21.83203125" customWidth="1"/>
    <col min="23" max="23" width="14.83203125" customWidth="1"/>
    <col min="24" max="24" width="24.83203125" customWidth="1"/>
    <col min="25" max="25" width="34.83203125" customWidth="1"/>
    <col min="26" max="26" width="34.83203125" customWidth="1"/>
  </cols>
  <sheetData>
    <row r="1">
      <c r="A1" t="str">
        <v>Cluster</v>
      </c>
      <c r="B1" t="str">
        <v>Benchmark label</v>
      </c>
      <c r="C1" t="str">
        <v>Cluster median S$</v>
      </c>
      <c r="D1" t="str">
        <v>Line S$</v>
      </c>
      <c r="E1" t="str">
        <v>× median</v>
      </c>
      <c r="F1" t="str">
        <v>Part name (as billed)</v>
      </c>
      <c r="G1" t="str">
        <v>Part number (as billed)</v>
      </c>
      <c r="H1" t="str">
        <v>Same PN in cluster</v>
      </c>
      <c r="I1" t="str">
        <v>Make</v>
      </c>
      <c r="J1" t="str">
        <v>Model</v>
      </c>
      <c r="K1" t="str">
        <v>Grade</v>
      </c>
      <c r="L1" t="str">
        <v>Unit basis</v>
      </c>
      <c r="M1" t="str">
        <v>Qty</v>
      </c>
      <c r="N1" t="str">
        <v>Line total S$</v>
      </c>
      <c r="O1" t="str">
        <v>GST</v>
      </c>
      <c r="P1" t="str">
        <v>Supplier</v>
      </c>
      <c r="Q1" t="str">
        <v>Bill no</v>
      </c>
      <c r="R1" t="str">
        <v>Bill date</v>
      </c>
      <c r="S1" t="str">
        <v>Source</v>
      </c>
      <c r="T1" t="str">
        <v>Search</v>
      </c>
      <c r="U1" t="str">
        <v>Identified as (fill)</v>
      </c>
      <c r="V1" t="str">
        <v>Fits vehicle (fill)</v>
      </c>
      <c r="W1" t="str">
        <v>CAUSE (fill)</v>
      </c>
      <c r="X1" t="str">
        <v>Market price S$ (fill)</v>
      </c>
      <c r="Y1" t="str">
        <v>Source URL (fill)</v>
      </c>
      <c r="Z1" t="str">
        <v>Notes (fill)</v>
      </c>
    </row>
    <row r="2">
      <c r="A2" t="str">
        <v>C01</v>
      </c>
      <c r="B2" t="str">
        <v>Cover Bumper</v>
      </c>
      <c r="C2">
        <v>120</v>
      </c>
      <c r="D2">
        <v>5</v>
      </c>
      <c r="E2">
        <v>0.04</v>
      </c>
      <c r="F2" t="str">
        <v>COVER BUMPER</v>
      </c>
      <c r="G2" t="str">
        <v>MBA000 991 36 04</v>
      </c>
      <c r="H2">
        <v>1</v>
      </c>
      <c r="I2" t="str">
        <v>Mercedes-Benz</v>
      </c>
      <c r="J2" t="str">
        <v>—</v>
      </c>
      <c r="K2" t="str">
        <v>Unknown</v>
      </c>
      <c r="L2" t="str">
        <v>each</v>
      </c>
      <c r="M2">
        <v>6</v>
      </c>
      <c r="N2">
        <v>30</v>
      </c>
      <c r="O2" t="str">
        <v>excl</v>
      </c>
      <c r="P2" t="str">
        <v>MIN GHEE AUTO PTE LTD</v>
      </c>
      <c r="Q2" t="str">
        <v>8414503</v>
      </c>
      <c r="R2" t="str">
        <v>03/12/2025</v>
      </c>
      <c r="S2" t="str">
        <v>excel</v>
      </c>
      <c r="T2" t="str">
        <v>Google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</row>
    <row r="3">
      <c r="A3" t="str">
        <v>C01</v>
      </c>
      <c r="B3" t="str">
        <v>Cover Bumper</v>
      </c>
      <c r="C3">
        <v>120</v>
      </c>
      <c r="D3">
        <v>32</v>
      </c>
      <c r="E3">
        <v>0.27</v>
      </c>
      <c r="F3" t="str">
        <v>Cover Bumper</v>
      </c>
      <c r="G3" t="str">
        <v>MBA213 885 16 00</v>
      </c>
      <c r="H3">
        <v>1</v>
      </c>
      <c r="I3" t="str">
        <v>Mercedes-Benz</v>
      </c>
      <c r="J3" t="str">
        <v>—</v>
      </c>
      <c r="K3" t="str">
        <v>Unknown</v>
      </c>
      <c r="L3" t="str">
        <v>each</v>
      </c>
      <c r="M3">
        <v>1</v>
      </c>
      <c r="N3">
        <v>32</v>
      </c>
      <c r="O3" t="str">
        <v>unknown</v>
      </c>
      <c r="P3" t="str">
        <v>Min Ghee Auto Pte Ltd</v>
      </c>
      <c r="Q3" t="str">
        <v>8122844.0</v>
      </c>
      <c r="R3" t="str">
        <v>10/04/2018</v>
      </c>
      <c r="S3" t="str">
        <v>excel</v>
      </c>
      <c r="T3" t="str">
        <v>Google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</row>
    <row r="4">
      <c r="A4" t="str">
        <v>C01</v>
      </c>
      <c r="B4" t="str">
        <v>Cover Bumper</v>
      </c>
      <c r="C4">
        <v>120</v>
      </c>
      <c r="D4">
        <v>80</v>
      </c>
      <c r="E4">
        <v>0.67</v>
      </c>
      <c r="F4" t="str">
        <v>COVER, BUMPER AREA</v>
      </c>
      <c r="G4" t="str">
        <v>MBA156 880 41 00</v>
      </c>
      <c r="H4">
        <v>1</v>
      </c>
      <c r="I4" t="str">
        <v>Mercedes-Benz</v>
      </c>
      <c r="J4" t="str">
        <v>—</v>
      </c>
      <c r="K4" t="str">
        <v>Unknown</v>
      </c>
      <c r="L4" t="str">
        <v>each</v>
      </c>
      <c r="M4">
        <v>1</v>
      </c>
      <c r="N4">
        <v>80</v>
      </c>
      <c r="O4" t="str">
        <v>excl</v>
      </c>
      <c r="P4" t="str">
        <v>MIN GHEE AUTO PTE LTD</v>
      </c>
      <c r="Q4" t="str">
        <v>8397352</v>
      </c>
      <c r="R4" t="str">
        <v>03/07/2025</v>
      </c>
      <c r="S4" t="str">
        <v>excel</v>
      </c>
      <c r="T4" t="str">
        <v>Google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</row>
    <row r="5">
      <c r="A5" t="str">
        <v>C01</v>
      </c>
      <c r="B5" t="str">
        <v>Cover Bumper</v>
      </c>
      <c r="C5">
        <v>120</v>
      </c>
      <c r="D5">
        <v>120</v>
      </c>
      <c r="E5">
        <v>1</v>
      </c>
      <c r="F5" t="str">
        <v>COVER BUMPER AREA</v>
      </c>
      <c r="G5" t="str">
        <v>MBA205 885 31 23</v>
      </c>
      <c r="H5">
        <v>1</v>
      </c>
      <c r="I5" t="str">
        <v>Mercedes-Benz</v>
      </c>
      <c r="J5" t="str">
        <v>—</v>
      </c>
      <c r="K5" t="str">
        <v>Unknown</v>
      </c>
      <c r="L5" t="str">
        <v>each</v>
      </c>
      <c r="M5">
        <v>1</v>
      </c>
      <c r="N5">
        <v>120</v>
      </c>
      <c r="O5" t="str">
        <v>excl</v>
      </c>
      <c r="P5" t="str">
        <v>MIN GHEE AUTO PTE. LTD.</v>
      </c>
      <c r="Q5" t="str">
        <v>8407516</v>
      </c>
      <c r="R5" t="str">
        <v>01/10/2025</v>
      </c>
      <c r="S5" t="str">
        <v>excel</v>
      </c>
      <c r="T5" t="str">
        <v>Google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</row>
    <row r="6">
      <c r="A6" t="str">
        <v>C01</v>
      </c>
      <c r="B6" t="str">
        <v>Cover Bumper</v>
      </c>
      <c r="C6">
        <v>120</v>
      </c>
      <c r="D6">
        <v>120</v>
      </c>
      <c r="E6">
        <v>1</v>
      </c>
      <c r="F6" t="str">
        <v>COVER BUMPER</v>
      </c>
      <c r="G6" t="str">
        <v>MBA003 990 94 97/CUPPED BLIND RI</v>
      </c>
      <c r="H6">
        <v>1</v>
      </c>
      <c r="I6" t="str">
        <v>Mercedes-Benz</v>
      </c>
      <c r="J6" t="str">
        <v>—</v>
      </c>
      <c r="K6" t="str">
        <v>Unknown</v>
      </c>
      <c r="L6" t="str">
        <v>each</v>
      </c>
      <c r="M6">
        <v>1</v>
      </c>
      <c r="N6">
        <v>120</v>
      </c>
      <c r="O6" t="str">
        <v>excl</v>
      </c>
      <c r="P6" t="str">
        <v>MIN GHEE AUTO PTE LTD</v>
      </c>
      <c r="Q6" t="str">
        <v>8414503</v>
      </c>
      <c r="R6" t="str">
        <v>03/12/2025</v>
      </c>
      <c r="S6" t="str">
        <v>excel</v>
      </c>
      <c r="T6" t="str">
        <v>Google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</row>
    <row r="7">
      <c r="A7" t="str">
        <v>C01</v>
      </c>
      <c r="B7" t="str">
        <v>Cover Bumper</v>
      </c>
      <c r="C7">
        <v>120</v>
      </c>
      <c r="D7">
        <v>270</v>
      </c>
      <c r="E7">
        <v>2.25</v>
      </c>
      <c r="F7" t="str">
        <v>COVER BUMPER AREA</v>
      </c>
      <c r="G7" t="str">
        <v>MBA253 885 05 22</v>
      </c>
      <c r="H7">
        <v>1</v>
      </c>
      <c r="I7" t="str">
        <v>Mercedes-Benz</v>
      </c>
      <c r="J7" t="str">
        <v>—</v>
      </c>
      <c r="K7" t="str">
        <v>Unknown</v>
      </c>
      <c r="L7" t="str">
        <v>each</v>
      </c>
      <c r="M7">
        <v>1</v>
      </c>
      <c r="N7">
        <v>270</v>
      </c>
      <c r="O7" t="str">
        <v>excl</v>
      </c>
      <c r="P7" t="str">
        <v>MIN GHEE AUTO PTE LTD</v>
      </c>
      <c r="Q7" t="str">
        <v>8405253</v>
      </c>
      <c r="R7" t="str">
        <v>11/09/2025</v>
      </c>
      <c r="S7" t="str">
        <v>excel</v>
      </c>
      <c r="T7" t="str">
        <v>Google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</row>
    <row r="8">
      <c r="A8" t="str">
        <v>C01</v>
      </c>
      <c r="B8" t="str">
        <v>Cover Bumper</v>
      </c>
      <c r="C8">
        <v>120</v>
      </c>
      <c r="D8">
        <v>620</v>
      </c>
      <c r="E8">
        <v>5.17</v>
      </c>
      <c r="F8" t="str">
        <v>COVER, BUMPER AREA</v>
      </c>
      <c r="G8" t="str">
        <v>MBA156 880 46 00</v>
      </c>
      <c r="H8">
        <v>1</v>
      </c>
      <c r="I8" t="str">
        <v>Mercedes-Benz</v>
      </c>
      <c r="J8" t="str">
        <v>—</v>
      </c>
      <c r="K8" t="str">
        <v>Unknown</v>
      </c>
      <c r="L8" t="str">
        <v>each</v>
      </c>
      <c r="M8">
        <v>1</v>
      </c>
      <c r="N8">
        <v>620</v>
      </c>
      <c r="O8" t="str">
        <v>excl</v>
      </c>
      <c r="P8" t="str">
        <v>MIN GHEE AUTO PTE LTD</v>
      </c>
      <c r="Q8" t="str">
        <v>8397352</v>
      </c>
      <c r="R8" t="str">
        <v>03/07/2025</v>
      </c>
      <c r="S8" t="str">
        <v>excel</v>
      </c>
      <c r="T8" t="str">
        <v>Google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</row>
    <row r="9">
      <c r="A9" t="str">
        <v>C02</v>
      </c>
      <c r="B9" t="str">
        <v>HEADLAMP LH</v>
      </c>
      <c r="C9">
        <v>475</v>
      </c>
      <c r="D9">
        <v>185</v>
      </c>
      <c r="E9">
        <v>0.39</v>
      </c>
      <c r="F9" t="str">
        <v>HEADLAMP RH</v>
      </c>
      <c r="G9" t="str">
        <v>T81130-37203R</v>
      </c>
      <c r="H9">
        <v>1</v>
      </c>
      <c r="I9" t="str">
        <v>Toyota</v>
      </c>
      <c r="J9" t="str">
        <v>—</v>
      </c>
      <c r="K9" t="str">
        <v>Unknown</v>
      </c>
      <c r="L9" t="str">
        <v>each</v>
      </c>
      <c r="M9">
        <v>1</v>
      </c>
      <c r="N9">
        <v>185</v>
      </c>
      <c r="O9" t="str">
        <v>excl</v>
      </c>
      <c r="P9" t="str">
        <v>Precision Auto Parts Supplies Pte Ltd</v>
      </c>
      <c r="Q9" t="str">
        <v>INV-0463</v>
      </c>
      <c r="R9" t="str">
        <v>29/09/2025</v>
      </c>
      <c r="S9" t="str">
        <v>excel</v>
      </c>
      <c r="T9" t="str">
        <v>Google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</row>
    <row r="10">
      <c r="A10" t="str">
        <v>C02</v>
      </c>
      <c r="B10" t="str">
        <v>HEADLAMP LH</v>
      </c>
      <c r="C10">
        <v>475</v>
      </c>
      <c r="D10">
        <v>185</v>
      </c>
      <c r="E10">
        <v>0.39</v>
      </c>
      <c r="F10" t="str">
        <v>HEADLAMP LH</v>
      </c>
      <c r="G10" t="str">
        <v>T81170-37203R</v>
      </c>
      <c r="H10">
        <v>1</v>
      </c>
      <c r="I10" t="str">
        <v>Toyota</v>
      </c>
      <c r="J10" t="str">
        <v>—</v>
      </c>
      <c r="K10" t="str">
        <v>Unknown</v>
      </c>
      <c r="L10" t="str">
        <v>each</v>
      </c>
      <c r="M10">
        <v>1</v>
      </c>
      <c r="N10">
        <v>185</v>
      </c>
      <c r="O10" t="str">
        <v>excl</v>
      </c>
      <c r="P10" t="str">
        <v>Precision Auto Parts Supplies Pte Ltd</v>
      </c>
      <c r="Q10" t="str">
        <v>INV-0463</v>
      </c>
      <c r="R10" t="str">
        <v>29/09/2025</v>
      </c>
      <c r="S10" t="str">
        <v>excel</v>
      </c>
      <c r="T10" t="str">
        <v>Google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</row>
    <row r="11">
      <c r="A11" t="str">
        <v>C02</v>
      </c>
      <c r="B11" t="str">
        <v>HEADLAMP LH</v>
      </c>
      <c r="C11">
        <v>475</v>
      </c>
      <c r="D11">
        <v>250</v>
      </c>
      <c r="E11">
        <v>0.53</v>
      </c>
      <c r="F11" t="str">
        <v>HEADLAMP RH</v>
      </c>
      <c r="G11" t="str">
        <v>ZZT81130-0L010</v>
      </c>
      <c r="H11">
        <v>1</v>
      </c>
      <c r="I11" t="str">
        <v>Toyota</v>
      </c>
      <c r="J11" t="str">
        <v>KDH201</v>
      </c>
      <c r="K11" t="str">
        <v>Unknown</v>
      </c>
      <c r="L11" t="str">
        <v>each</v>
      </c>
      <c r="M11">
        <v>1</v>
      </c>
      <c r="N11">
        <v>250</v>
      </c>
      <c r="O11" t="str">
        <v>excl</v>
      </c>
      <c r="P11" t="str">
        <v>FORTUNA AUTOMOTIVE PTE LTD</v>
      </c>
      <c r="Q11" t="str">
        <v>CL2508266</v>
      </c>
      <c r="R11" t="str">
        <v>14/08/2025</v>
      </c>
      <c r="S11" t="str">
        <v>excel</v>
      </c>
      <c r="T11" t="str">
        <v>Google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</row>
    <row r="12">
      <c r="A12" t="str">
        <v>C02</v>
      </c>
      <c r="B12" t="str">
        <v>HEADLAMP LH</v>
      </c>
      <c r="C12">
        <v>475</v>
      </c>
      <c r="D12">
        <v>270</v>
      </c>
      <c r="E12">
        <v>0.57</v>
      </c>
      <c r="F12" t="str">
        <v>HEADLAMP LH</v>
      </c>
      <c r="G12" t="str">
        <v>ZZT81170-02F31</v>
      </c>
      <c r="H12">
        <v>1</v>
      </c>
      <c r="I12" t="str">
        <v>Toyota</v>
      </c>
      <c r="J12" t="str">
        <v>ZRE171</v>
      </c>
      <c r="K12" t="str">
        <v>Unknown</v>
      </c>
      <c r="L12" t="str">
        <v>each</v>
      </c>
      <c r="M12">
        <v>1</v>
      </c>
      <c r="N12">
        <v>270</v>
      </c>
      <c r="O12" t="str">
        <v>excl</v>
      </c>
      <c r="P12" t="str">
        <v>FORTUNA AUTOMOTIVE PTE LTD</v>
      </c>
      <c r="Q12" t="str">
        <v>CL2508534</v>
      </c>
      <c r="R12" t="str">
        <v>27/08/2025</v>
      </c>
      <c r="S12" t="str">
        <v>excel</v>
      </c>
      <c r="T12" t="str">
        <v>Google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</row>
    <row r="13">
      <c r="A13" t="str">
        <v>C02</v>
      </c>
      <c r="B13" t="str">
        <v>HEADLAMP LH</v>
      </c>
      <c r="C13">
        <v>475</v>
      </c>
      <c r="D13">
        <v>270</v>
      </c>
      <c r="E13">
        <v>0.57</v>
      </c>
      <c r="F13" t="str">
        <v>HEADLAMP</v>
      </c>
      <c r="G13" t="str">
        <v>T81130-37660</v>
      </c>
      <c r="H13">
        <v>2</v>
      </c>
      <c r="I13" t="str">
        <v>Toyota</v>
      </c>
      <c r="J13" t="str">
        <v>ZRE171</v>
      </c>
      <c r="K13" t="str">
        <v>Unknown</v>
      </c>
      <c r="L13" t="str">
        <v>each</v>
      </c>
      <c r="M13">
        <v>1</v>
      </c>
      <c r="N13">
        <v>270</v>
      </c>
      <c r="O13" t="str">
        <v>excl</v>
      </c>
      <c r="P13" t="str">
        <v>FORTUNA AUTOMOTIVE PTE LTD</v>
      </c>
      <c r="Q13" t="str">
        <v>CL2508534</v>
      </c>
      <c r="R13" t="str">
        <v>27/08/2025</v>
      </c>
      <c r="S13" t="str">
        <v>excel</v>
      </c>
      <c r="T13" t="str">
        <v>Google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</row>
    <row r="14">
      <c r="A14" t="str">
        <v>C02</v>
      </c>
      <c r="B14" t="str">
        <v>HEADLAMP LH</v>
      </c>
      <c r="C14">
        <v>475</v>
      </c>
      <c r="D14">
        <v>380</v>
      </c>
      <c r="E14">
        <v>0.8</v>
      </c>
      <c r="F14" t="str">
        <v>HEADLAMP LH</v>
      </c>
      <c r="G14" t="str">
        <v>ZZT81185-06d50</v>
      </c>
      <c r="H14">
        <v>1</v>
      </c>
      <c r="I14" t="str">
        <v>Toyota</v>
      </c>
      <c r="J14" t="str">
        <v>ASV51</v>
      </c>
      <c r="K14" t="str">
        <v>Unknown</v>
      </c>
      <c r="L14" t="str">
        <v>each</v>
      </c>
      <c r="M14">
        <v>1</v>
      </c>
      <c r="N14">
        <v>380</v>
      </c>
      <c r="O14" t="str">
        <v>excl</v>
      </c>
      <c r="P14" t="str">
        <v>FORTUNA AUTOMOTIVE PTE LTD</v>
      </c>
      <c r="Q14" t="str">
        <v>CL2510229</v>
      </c>
      <c r="R14" t="str">
        <v>15/10/2025</v>
      </c>
      <c r="S14" t="str">
        <v>excel</v>
      </c>
      <c r="T14" t="str">
        <v>Google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</row>
    <row r="15">
      <c r="A15" t="str">
        <v>C02</v>
      </c>
      <c r="B15" t="str">
        <v>HEADLAMP LH</v>
      </c>
      <c r="C15">
        <v>475</v>
      </c>
      <c r="D15">
        <v>450</v>
      </c>
      <c r="E15">
        <v>0.95</v>
      </c>
      <c r="F15" t="str">
        <v>HEADLAMP UNIT RH</v>
      </c>
      <c r="G15" t="str">
        <v>T81130-37660</v>
      </c>
      <c r="H15">
        <v>2</v>
      </c>
      <c r="I15" t="str">
        <v>Toyota</v>
      </c>
      <c r="J15" t="str">
        <v>—</v>
      </c>
      <c r="K15" t="str">
        <v>Unknown</v>
      </c>
      <c r="L15" t="str">
        <v>each</v>
      </c>
      <c r="M15">
        <v>1</v>
      </c>
      <c r="N15">
        <v>450</v>
      </c>
      <c r="O15" t="str">
        <v>excl</v>
      </c>
      <c r="P15" t="str">
        <v>HE XING AUTO PARTS PTE LTD</v>
      </c>
      <c r="Q15" t="str">
        <v>DLI9283883</v>
      </c>
      <c r="R15" t="str">
        <v>22/08/2025</v>
      </c>
      <c r="S15" t="str">
        <v>excel</v>
      </c>
      <c r="T15" t="str">
        <v>Google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</row>
    <row r="16">
      <c r="A16" t="str">
        <v>C02</v>
      </c>
      <c r="B16" t="str">
        <v>HEADLAMP LH</v>
      </c>
      <c r="C16">
        <v>475</v>
      </c>
      <c r="D16">
        <v>500</v>
      </c>
      <c r="E16">
        <v>1.05</v>
      </c>
      <c r="F16" t="str">
        <v>HEADLAMP UNIT RH</v>
      </c>
      <c r="G16" t="str">
        <v>T81130-12J70</v>
      </c>
      <c r="H16">
        <v>1</v>
      </c>
      <c r="I16" t="str">
        <v>Toyota</v>
      </c>
      <c r="J16" t="str">
        <v>—</v>
      </c>
      <c r="K16" t="str">
        <v>Unknown</v>
      </c>
      <c r="L16" t="str">
        <v>each</v>
      </c>
      <c r="M16">
        <v>1</v>
      </c>
      <c r="N16">
        <v>500</v>
      </c>
      <c r="O16" t="str">
        <v>excl</v>
      </c>
      <c r="P16" t="str">
        <v>HE XING AUTO PARTS PTE LTD</v>
      </c>
      <c r="Q16" t="str">
        <v>DLI9286145</v>
      </c>
      <c r="R16" t="str">
        <v>19/12/2025</v>
      </c>
      <c r="S16" t="str">
        <v>excel</v>
      </c>
      <c r="T16" t="str">
        <v>Google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</row>
    <row r="17">
      <c r="A17" t="str">
        <v>C02</v>
      </c>
      <c r="B17" t="str">
        <v>HEADLAMP LH</v>
      </c>
      <c r="C17">
        <v>475</v>
      </c>
      <c r="D17">
        <v>500</v>
      </c>
      <c r="E17">
        <v>1.05</v>
      </c>
      <c r="F17" t="str">
        <v>HEADLAMP UNIT LH</v>
      </c>
      <c r="G17" t="str">
        <v>T81170-12J70</v>
      </c>
      <c r="H17">
        <v>1</v>
      </c>
      <c r="I17" t="str">
        <v>Toyota</v>
      </c>
      <c r="J17" t="str">
        <v>—</v>
      </c>
      <c r="K17" t="str">
        <v>Unknown</v>
      </c>
      <c r="L17" t="str">
        <v>each</v>
      </c>
      <c r="M17">
        <v>1</v>
      </c>
      <c r="N17">
        <v>500</v>
      </c>
      <c r="O17" t="str">
        <v>excl</v>
      </c>
      <c r="P17" t="str">
        <v>HE XING AUTO PARTS PTE LTD</v>
      </c>
      <c r="Q17" t="str">
        <v>DLI9286145</v>
      </c>
      <c r="R17" t="str">
        <v>19/12/2025</v>
      </c>
      <c r="S17" t="str">
        <v>excel</v>
      </c>
      <c r="T17" t="str">
        <v>Google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</row>
    <row r="18">
      <c r="A18" t="str">
        <v>C02</v>
      </c>
      <c r="B18" t="str">
        <v>HEADLAMP LH</v>
      </c>
      <c r="C18">
        <v>475</v>
      </c>
      <c r="D18">
        <v>1100</v>
      </c>
      <c r="E18">
        <v>2.32</v>
      </c>
      <c r="F18" t="str">
        <v>HEADLAMP ASSY LH</v>
      </c>
      <c r="G18" t="str">
        <v>T81150-B1431</v>
      </c>
      <c r="H18">
        <v>1</v>
      </c>
      <c r="I18" t="str">
        <v>Toyota</v>
      </c>
      <c r="J18" t="str">
        <v>—</v>
      </c>
      <c r="K18" t="str">
        <v>Unknown</v>
      </c>
      <c r="L18" t="str">
        <v>each</v>
      </c>
      <c r="M18">
        <v>1</v>
      </c>
      <c r="N18">
        <v>1100</v>
      </c>
      <c r="O18" t="str">
        <v>excl</v>
      </c>
      <c r="P18" t="str">
        <v>HE XING AUTO PARTS PTE LTD</v>
      </c>
      <c r="Q18" t="str">
        <v>DLI9284206</v>
      </c>
      <c r="R18" t="str">
        <v>09/09/2025</v>
      </c>
      <c r="S18" t="str">
        <v>excel</v>
      </c>
      <c r="T18" t="str">
        <v>Google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</row>
    <row r="19">
      <c r="A19" t="str">
        <v>C02</v>
      </c>
      <c r="B19" t="str">
        <v>HEADLAMP LH</v>
      </c>
      <c r="C19">
        <v>475</v>
      </c>
      <c r="D19">
        <v>1350</v>
      </c>
      <c r="E19">
        <v>2.84</v>
      </c>
      <c r="F19" t="str">
        <v>HEADLAMP UNIT LH</v>
      </c>
      <c r="G19" t="str">
        <v>T81170-52K30</v>
      </c>
      <c r="H19">
        <v>1</v>
      </c>
      <c r="I19" t="str">
        <v>Toyota</v>
      </c>
      <c r="J19" t="str">
        <v>Sienta</v>
      </c>
      <c r="K19" t="str">
        <v>Unknown</v>
      </c>
      <c r="L19" t="str">
        <v>each</v>
      </c>
      <c r="M19">
        <v>1</v>
      </c>
      <c r="N19">
        <v>1350</v>
      </c>
      <c r="O19" t="str">
        <v>excl</v>
      </c>
      <c r="P19" t="str">
        <v>HE XING AUTO PARTS PTE LTD</v>
      </c>
      <c r="Q19" t="str">
        <v>DLI9281716</v>
      </c>
      <c r="R19" t="str">
        <v>10/05/2025</v>
      </c>
      <c r="S19" t="str">
        <v>excel</v>
      </c>
      <c r="T19" t="str">
        <v>Google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</row>
    <row r="20">
      <c r="A20" t="str">
        <v>C02</v>
      </c>
      <c r="B20" t="str">
        <v>HEADLAMP LH</v>
      </c>
      <c r="C20">
        <v>475</v>
      </c>
      <c r="D20">
        <v>1350</v>
      </c>
      <c r="E20">
        <v>2.84</v>
      </c>
      <c r="F20" t="str">
        <v>HEADLAMP UNIT RH</v>
      </c>
      <c r="G20" t="str">
        <v>T81130-28G40</v>
      </c>
      <c r="H20">
        <v>1</v>
      </c>
      <c r="I20" t="str">
        <v>Toyota</v>
      </c>
      <c r="J20" t="str">
        <v>—</v>
      </c>
      <c r="K20" t="str">
        <v>Unknown</v>
      </c>
      <c r="L20" t="str">
        <v>each</v>
      </c>
      <c r="M20">
        <v>1</v>
      </c>
      <c r="N20">
        <v>1350</v>
      </c>
      <c r="O20" t="str">
        <v>excl</v>
      </c>
      <c r="P20" t="str">
        <v>HE XING AUTO PARTS PTE LTD</v>
      </c>
      <c r="Q20" t="str">
        <v>DLI9285374</v>
      </c>
      <c r="R20" t="str">
        <v>10/11/2025</v>
      </c>
      <c r="S20" t="str">
        <v>excel</v>
      </c>
      <c r="T20" t="str">
        <v>Google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</row>
    <row r="21">
      <c r="A21" t="str">
        <v>C02</v>
      </c>
      <c r="B21" t="str">
        <v>HEADLAMP LH</v>
      </c>
      <c r="C21">
        <v>475</v>
      </c>
      <c r="D21">
        <v>1600</v>
      </c>
      <c r="E21">
        <v>3.37</v>
      </c>
      <c r="F21" t="str">
        <v>HEADLAMP RH</v>
      </c>
      <c r="G21" t="str">
        <v>T81145-78170</v>
      </c>
      <c r="H21">
        <v>1</v>
      </c>
      <c r="I21" t="str">
        <v>Toyota</v>
      </c>
      <c r="J21" t="str">
        <v>—</v>
      </c>
      <c r="K21" t="str">
        <v>Unknown</v>
      </c>
      <c r="L21" t="str">
        <v>each</v>
      </c>
      <c r="M21">
        <v>1</v>
      </c>
      <c r="N21">
        <v>1600</v>
      </c>
      <c r="O21" t="str">
        <v>excl</v>
      </c>
      <c r="P21" t="str">
        <v>HE XING AUTO PARTS PTE LTD</v>
      </c>
      <c r="Q21" t="str">
        <v>DLI9285054</v>
      </c>
      <c r="R21" t="str">
        <v>25/10/2025</v>
      </c>
      <c r="S21" t="str">
        <v>excel</v>
      </c>
      <c r="T21" t="str">
        <v>Google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</row>
    <row r="22">
      <c r="A22" t="str">
        <v>C02</v>
      </c>
      <c r="B22" t="str">
        <v>HEADLAMP LH</v>
      </c>
      <c r="C22">
        <v>475</v>
      </c>
      <c r="D22">
        <v>3600</v>
      </c>
      <c r="E22">
        <v>7.58</v>
      </c>
      <c r="F22" t="str">
        <v>HEADLAMP</v>
      </c>
      <c r="G22" t="str">
        <v>TY81185-48F60</v>
      </c>
      <c r="H22">
        <v>1</v>
      </c>
      <c r="I22" t="str">
        <v>Toyota</v>
      </c>
      <c r="J22" t="str">
        <v>—</v>
      </c>
      <c r="K22" t="str">
        <v>Unknown</v>
      </c>
      <c r="L22" t="str">
        <v>each</v>
      </c>
      <c r="M22">
        <v>1</v>
      </c>
      <c r="N22">
        <v>3600</v>
      </c>
      <c r="O22" t="str">
        <v>excl</v>
      </c>
      <c r="P22" t="str">
        <v>MIN GHEE AUTO PTE LTD</v>
      </c>
      <c r="Q22" t="str">
        <v>1577663</v>
      </c>
      <c r="R22" t="str">
        <v>25/11/2025</v>
      </c>
      <c r="S22" t="str">
        <v>excel</v>
      </c>
      <c r="T22" t="str">
        <v>Google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</row>
    <row r="23">
      <c r="A23" t="str">
        <v>C03</v>
      </c>
      <c r="B23" t="str">
        <v>ASSEMBLY - FENDER SUPPORT - LEFT HAND</v>
      </c>
      <c r="C23">
        <v>436.29</v>
      </c>
      <c r="D23">
        <v>24.82</v>
      </c>
      <c r="E23">
        <v>0.06</v>
      </c>
      <c r="F23" t="str">
        <v>ASSEMBLY - FENDER SUPPORT - LEFT HAND</v>
      </c>
      <c r="G23" t="str">
        <v>1771986-SC-C</v>
      </c>
      <c r="H23">
        <v>1</v>
      </c>
      <c r="I23" t="str">
        <v>Tesla</v>
      </c>
      <c r="J23" t="str">
        <v>—</v>
      </c>
      <c r="K23" t="str">
        <v>Unknown</v>
      </c>
      <c r="L23" t="str">
        <v>each</v>
      </c>
      <c r="M23">
        <v>1</v>
      </c>
      <c r="N23">
        <v>24.82</v>
      </c>
      <c r="O23" t="str">
        <v>excl</v>
      </c>
      <c r="P23" t="str">
        <v>Tesla Motors Singapore Private Limited</v>
      </c>
      <c r="Q23" t="str">
        <v>2040R0000004181</v>
      </c>
      <c r="R23" t="str">
        <v>2025/07/31</v>
      </c>
      <c r="S23" t="str">
        <v>excel</v>
      </c>
      <c r="T23" t="str">
        <v>Google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</row>
    <row r="24">
      <c r="A24" t="str">
        <v>C03</v>
      </c>
      <c r="B24" t="str">
        <v>ASSEMBLY - FENDER SUPPORT - LEFT HAND</v>
      </c>
      <c r="C24">
        <v>436.29</v>
      </c>
      <c r="D24">
        <v>24.82</v>
      </c>
      <c r="E24">
        <v>0.06</v>
      </c>
      <c r="F24" t="str">
        <v>ASSEMBLY - FENDER SUPPORT - LEFT HAND</v>
      </c>
      <c r="G24" t="str">
        <v>1771936-SC-C</v>
      </c>
      <c r="H24">
        <v>2</v>
      </c>
      <c r="I24" t="str">
        <v>Tesla</v>
      </c>
      <c r="J24" t="str">
        <v>Model 3</v>
      </c>
      <c r="K24" t="str">
        <v>Unknown</v>
      </c>
      <c r="L24" t="str">
        <v>each</v>
      </c>
      <c r="M24">
        <v>1</v>
      </c>
      <c r="N24">
        <v>24.82</v>
      </c>
      <c r="O24" t="str">
        <v>excl</v>
      </c>
      <c r="P24" t="str">
        <v>Tesla Motors Singapore Private Limited</v>
      </c>
      <c r="Q24" t="str">
        <v>2040R0000004919</v>
      </c>
      <c r="R24" t="str">
        <v>20/11/2025</v>
      </c>
      <c r="S24" t="str">
        <v>excel</v>
      </c>
      <c r="T24" t="str">
        <v>Google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</row>
    <row r="25">
      <c r="A25" t="str">
        <v>C03</v>
      </c>
      <c r="B25" t="str">
        <v>ASSEMBLY - FENDER SUPPORT - LEFT HAND</v>
      </c>
      <c r="C25">
        <v>436.29</v>
      </c>
      <c r="D25">
        <v>24.82</v>
      </c>
      <c r="E25">
        <v>0.06</v>
      </c>
      <c r="F25" t="str">
        <v>ASSEMBLY - FENDER SUPPORT - LEFT HAND</v>
      </c>
      <c r="G25" t="str">
        <v>1771936-SC-C</v>
      </c>
      <c r="H25">
        <v>2</v>
      </c>
      <c r="I25" t="str">
        <v>Tesla</v>
      </c>
      <c r="J25" t="str">
        <v>Model 3</v>
      </c>
      <c r="K25" t="str">
        <v>Unknown</v>
      </c>
      <c r="L25" t="str">
        <v>each</v>
      </c>
      <c r="M25">
        <v>1</v>
      </c>
      <c r="N25">
        <v>24.82</v>
      </c>
      <c r="O25" t="str">
        <v>unknown</v>
      </c>
      <c r="P25" t="str">
        <v>Tesla</v>
      </c>
      <c r="Q25" t="str">
        <v/>
      </c>
      <c r="R25" t="str">
        <v/>
      </c>
      <c r="S25" t="str">
        <v>excel</v>
      </c>
      <c r="T25" t="str">
        <v>Google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</row>
    <row r="26">
      <c r="A26" t="str">
        <v>C03</v>
      </c>
      <c r="B26" t="str">
        <v>ASSEMBLY - FENDER SUPPORT - LEFT HAND</v>
      </c>
      <c r="C26">
        <v>436.29</v>
      </c>
      <c r="D26">
        <v>436.29</v>
      </c>
      <c r="E26">
        <v>1</v>
      </c>
      <c r="F26" t="str">
        <v>ASSEMBLY - FENDER - LEFT HAND</v>
      </c>
      <c r="G26" t="str">
        <v>1714884-EC-D</v>
      </c>
      <c r="H26">
        <v>4</v>
      </c>
      <c r="I26" t="str">
        <v>Tesla</v>
      </c>
      <c r="J26" t="str">
        <v>—</v>
      </c>
      <c r="K26" t="str">
        <v>Unknown</v>
      </c>
      <c r="L26" t="str">
        <v>each</v>
      </c>
      <c r="M26">
        <v>1</v>
      </c>
      <c r="N26">
        <v>436.29</v>
      </c>
      <c r="O26" t="str">
        <v>excl</v>
      </c>
      <c r="P26" t="str">
        <v>Tesla Motors Singapore Private Limited</v>
      </c>
      <c r="Q26" t="str">
        <v>2040R0000004181</v>
      </c>
      <c r="R26" t="str">
        <v>2025/07/31</v>
      </c>
      <c r="S26" t="str">
        <v>excel</v>
      </c>
      <c r="T26" t="str">
        <v>Google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</row>
    <row r="27">
      <c r="A27" t="str">
        <v>C03</v>
      </c>
      <c r="B27" t="str">
        <v>ASSEMBLY - FENDER SUPPORT - LEFT HAND</v>
      </c>
      <c r="C27">
        <v>436.29</v>
      </c>
      <c r="D27">
        <v>436.29</v>
      </c>
      <c r="E27">
        <v>1</v>
      </c>
      <c r="F27" t="str">
        <v>ASSEMBLY - FENDER - LEFT HAND</v>
      </c>
      <c r="G27" t="str">
        <v>1714884-EC-D</v>
      </c>
      <c r="H27">
        <v>4</v>
      </c>
      <c r="I27" t="str">
        <v>Tesla</v>
      </c>
      <c r="J27" t="str">
        <v>Model 3</v>
      </c>
      <c r="K27" t="str">
        <v>Unknown</v>
      </c>
      <c r="L27" t="str">
        <v>each</v>
      </c>
      <c r="M27">
        <v>1</v>
      </c>
      <c r="N27">
        <v>436.29</v>
      </c>
      <c r="O27" t="str">
        <v>excl</v>
      </c>
      <c r="P27" t="str">
        <v>Tesla Motors Singapore Private Limited</v>
      </c>
      <c r="Q27" t="str">
        <v>2040R0000004919</v>
      </c>
      <c r="R27" t="str">
        <v>20/11/2025</v>
      </c>
      <c r="S27" t="str">
        <v>excel</v>
      </c>
      <c r="T27" t="str">
        <v>Google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</row>
    <row r="28">
      <c r="A28" t="str">
        <v>C03</v>
      </c>
      <c r="B28" t="str">
        <v>ASSEMBLY - FENDER SUPPORT - LEFT HAND</v>
      </c>
      <c r="C28">
        <v>436.29</v>
      </c>
      <c r="D28">
        <v>436.29</v>
      </c>
      <c r="E28">
        <v>1</v>
      </c>
      <c r="F28" t="str">
        <v>ASSEMBLY - FENDER - LEFT HAND</v>
      </c>
      <c r="G28" t="str">
        <v>1714884-EC-D</v>
      </c>
      <c r="H28">
        <v>4</v>
      </c>
      <c r="I28" t="str">
        <v>Tesla</v>
      </c>
      <c r="J28" t="str">
        <v>Model 3</v>
      </c>
      <c r="K28" t="str">
        <v>Unknown</v>
      </c>
      <c r="L28" t="str">
        <v>each</v>
      </c>
      <c r="M28">
        <v>1</v>
      </c>
      <c r="N28">
        <v>436.29</v>
      </c>
      <c r="O28" t="str">
        <v>unknown</v>
      </c>
      <c r="P28" t="str">
        <v>Tesla</v>
      </c>
      <c r="Q28" t="str">
        <v/>
      </c>
      <c r="R28" t="str">
        <v/>
      </c>
      <c r="S28" t="str">
        <v>excel</v>
      </c>
      <c r="T28" t="str">
        <v>Google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</row>
    <row r="29">
      <c r="A29" t="str">
        <v>C03</v>
      </c>
      <c r="B29" t="str">
        <v>ASSEMBLY - FENDER SUPPORT - LEFT HAND</v>
      </c>
      <c r="C29">
        <v>436.29</v>
      </c>
      <c r="D29">
        <v>436.29</v>
      </c>
      <c r="E29">
        <v>1</v>
      </c>
      <c r="F29" t="str">
        <v>ASSEMBLY - FENDER - LEFT HAND</v>
      </c>
      <c r="G29" t="str">
        <v>1714884-EC-D</v>
      </c>
      <c r="H29">
        <v>4</v>
      </c>
      <c r="I29" t="str">
        <v>Tesla</v>
      </c>
      <c r="J29" t="str">
        <v>—</v>
      </c>
      <c r="K29" t="str">
        <v>Unknown</v>
      </c>
      <c r="L29" t="str">
        <v>each</v>
      </c>
      <c r="M29">
        <v>1</v>
      </c>
      <c r="N29">
        <v>436.29</v>
      </c>
      <c r="O29" t="str">
        <v>unknown</v>
      </c>
      <c r="P29" t="str">
        <v>Tesla</v>
      </c>
      <c r="Q29" t="str">
        <v/>
      </c>
      <c r="R29" t="str">
        <v>28/11/2025</v>
      </c>
      <c r="S29" t="str">
        <v>excel</v>
      </c>
      <c r="T29" t="str">
        <v>Google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</row>
    <row r="30">
      <c r="A30" t="str">
        <v>C04</v>
      </c>
      <c r="B30" t="str">
        <v>Mounting Rail</v>
      </c>
      <c r="C30">
        <v>42.5</v>
      </c>
      <c r="D30">
        <v>10</v>
      </c>
      <c r="E30">
        <v>0.24</v>
      </c>
      <c r="F30" t="str">
        <v>Mounting Rail</v>
      </c>
      <c r="G30" t="str">
        <v>MBA213 885 06 21</v>
      </c>
      <c r="H30">
        <v>1</v>
      </c>
      <c r="I30" t="str">
        <v>Mercedes-Benz</v>
      </c>
      <c r="J30" t="str">
        <v>—</v>
      </c>
      <c r="K30" t="str">
        <v>Unknown</v>
      </c>
      <c r="L30" t="str">
        <v>each</v>
      </c>
      <c r="M30">
        <v>1</v>
      </c>
      <c r="N30">
        <v>10</v>
      </c>
      <c r="O30" t="str">
        <v>unknown</v>
      </c>
      <c r="P30" t="str">
        <v>Min Ghee Auto Pte Ltd</v>
      </c>
      <c r="Q30" t="str">
        <v>8123192.0</v>
      </c>
      <c r="R30" t="str">
        <v>10/08/2018</v>
      </c>
      <c r="S30" t="str">
        <v>excel</v>
      </c>
      <c r="T30" t="str">
        <v>Google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</row>
    <row r="31">
      <c r="A31" t="str">
        <v>C04</v>
      </c>
      <c r="B31" t="str">
        <v>Mounting Rail</v>
      </c>
      <c r="C31">
        <v>42.5</v>
      </c>
      <c r="D31">
        <v>20</v>
      </c>
      <c r="E31">
        <v>0.47</v>
      </c>
      <c r="F31" t="str">
        <v>MOUNTING RAIL</v>
      </c>
      <c r="G31" t="str">
        <v>MBA253 885 67 01</v>
      </c>
      <c r="H31">
        <v>1</v>
      </c>
      <c r="I31" t="str">
        <v>Mercedes-Benz</v>
      </c>
      <c r="J31" t="str">
        <v>—</v>
      </c>
      <c r="K31" t="str">
        <v>Unknown</v>
      </c>
      <c r="L31" t="str">
        <v>each</v>
      </c>
      <c r="M31">
        <v>1</v>
      </c>
      <c r="N31">
        <v>20</v>
      </c>
      <c r="O31" t="str">
        <v>excl</v>
      </c>
      <c r="P31" t="str">
        <v>MIN GHEE AUTO PTE LTD</v>
      </c>
      <c r="Q31" t="str">
        <v>8405253</v>
      </c>
      <c r="R31" t="str">
        <v>11/09/2025</v>
      </c>
      <c r="S31" t="str">
        <v>excel</v>
      </c>
      <c r="T31" t="str">
        <v>Google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</row>
    <row r="32">
      <c r="A32" t="str">
        <v>C04</v>
      </c>
      <c r="B32" t="str">
        <v>Mounting Rail</v>
      </c>
      <c r="C32">
        <v>42.5</v>
      </c>
      <c r="D32">
        <v>65</v>
      </c>
      <c r="E32">
        <v>1.53</v>
      </c>
      <c r="F32" t="str">
        <v>MOUNTING RAIL FRT LH</v>
      </c>
      <c r="G32" t="str">
        <v>A4478800612</v>
      </c>
      <c r="H32">
        <v>1</v>
      </c>
      <c r="I32" t="str">
        <v>Mercedes-Benz</v>
      </c>
      <c r="J32" t="str">
        <v>—</v>
      </c>
      <c r="K32" t="str">
        <v>Unknown</v>
      </c>
      <c r="L32" t="str">
        <v>each</v>
      </c>
      <c r="M32">
        <v>1</v>
      </c>
      <c r="N32">
        <v>65</v>
      </c>
      <c r="O32" t="str">
        <v>excl</v>
      </c>
      <c r="P32" t="str">
        <v>SURPASS AUTO PARTS SUPPLIES PTE LTD</v>
      </c>
      <c r="Q32" t="str">
        <v>25080083</v>
      </c>
      <c r="R32" t="str">
        <v>01/08/2025</v>
      </c>
      <c r="S32" t="str">
        <v>excel</v>
      </c>
      <c r="T32" t="str">
        <v>Google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</row>
    <row r="33">
      <c r="A33" t="str">
        <v>C04</v>
      </c>
      <c r="B33" t="str">
        <v>Mounting Rail</v>
      </c>
      <c r="C33">
        <v>42.5</v>
      </c>
      <c r="D33">
        <v>65</v>
      </c>
      <c r="E33">
        <v>1.53</v>
      </c>
      <c r="F33" t="str">
        <v>MOUNTING RAIL FRT RH</v>
      </c>
      <c r="G33" t="str">
        <v>A4478800712</v>
      </c>
      <c r="H33">
        <v>1</v>
      </c>
      <c r="I33" t="str">
        <v>Mercedes-Benz</v>
      </c>
      <c r="J33" t="str">
        <v>—</v>
      </c>
      <c r="K33" t="str">
        <v>Unknown</v>
      </c>
      <c r="L33" t="str">
        <v>each</v>
      </c>
      <c r="M33">
        <v>1</v>
      </c>
      <c r="N33">
        <v>65</v>
      </c>
      <c r="O33" t="str">
        <v>excl</v>
      </c>
      <c r="P33" t="str">
        <v>SURPASS AUTO PARTS SUPPLIES PTE LTD</v>
      </c>
      <c r="Q33" t="str">
        <v>25080083</v>
      </c>
      <c r="R33" t="str">
        <v>01/08/2025</v>
      </c>
      <c r="S33" t="str">
        <v>excel</v>
      </c>
      <c r="T33" t="str">
        <v>Google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</row>
    <row r="34">
      <c r="A34" t="str">
        <v>C05</v>
      </c>
      <c r="B34" t="str">
        <v>Front Bumper Fog Lamp RH</v>
      </c>
      <c r="C34">
        <v>95</v>
      </c>
      <c r="D34">
        <v>20</v>
      </c>
      <c r="E34">
        <v>0.21</v>
      </c>
      <c r="F34" t="str">
        <v>Front Bumper Fog Lamp Connector LH</v>
      </c>
      <c r="G34" t="str">
        <v>3D0941165A</v>
      </c>
      <c r="H34">
        <v>1</v>
      </c>
      <c r="I34" t="str">
        <v>Audi</v>
      </c>
      <c r="J34" t="str">
        <v>Q5</v>
      </c>
      <c r="K34" t="str">
        <v>Unknown</v>
      </c>
      <c r="L34" t="str">
        <v>each</v>
      </c>
      <c r="M34">
        <v>1</v>
      </c>
      <c r="N34">
        <v>20</v>
      </c>
      <c r="O34" t="str">
        <v>unknown</v>
      </c>
      <c r="P34" t="str">
        <v>Jae Auto Pte Ltd</v>
      </c>
      <c r="Q34" t="str">
        <v>AR201805-00837</v>
      </c>
      <c r="R34" t="str">
        <v>05/02/2018</v>
      </c>
      <c r="S34" t="str">
        <v>excel</v>
      </c>
      <c r="T34" t="str">
        <v>Google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</row>
    <row r="35">
      <c r="A35" t="str">
        <v>C05</v>
      </c>
      <c r="B35" t="str">
        <v>Front Bumper Fog Lamp RH</v>
      </c>
      <c r="C35">
        <v>95</v>
      </c>
      <c r="D35">
        <v>95</v>
      </c>
      <c r="E35">
        <v>1</v>
      </c>
      <c r="F35" t="str">
        <v>Front Bumper Fog Lamp RH</v>
      </c>
      <c r="G35" t="str">
        <v>8T0941700B</v>
      </c>
      <c r="H35">
        <v>1</v>
      </c>
      <c r="I35" t="str">
        <v>Audi</v>
      </c>
      <c r="J35" t="str">
        <v>Q5</v>
      </c>
      <c r="K35" t="str">
        <v>Unknown</v>
      </c>
      <c r="L35" t="str">
        <v>each</v>
      </c>
      <c r="M35">
        <v>1</v>
      </c>
      <c r="N35">
        <v>95</v>
      </c>
      <c r="O35" t="str">
        <v>unknown</v>
      </c>
      <c r="P35" t="str">
        <v>Jae Auto Pte Ltd</v>
      </c>
      <c r="Q35" t="str">
        <v>AR201805-02365</v>
      </c>
      <c r="R35" t="str">
        <v>05/05/2018</v>
      </c>
      <c r="S35" t="str">
        <v>excel</v>
      </c>
      <c r="T35" t="str">
        <v>Google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</row>
    <row r="36">
      <c r="A36" t="str">
        <v>C05</v>
      </c>
      <c r="B36" t="str">
        <v>Front Bumper Fog Lamp RH</v>
      </c>
      <c r="C36">
        <v>95</v>
      </c>
      <c r="D36">
        <v>95</v>
      </c>
      <c r="E36">
        <v>1</v>
      </c>
      <c r="F36" t="str">
        <v>Front Bumper Fog Lamp LH</v>
      </c>
      <c r="G36" t="str">
        <v>8T0941699B</v>
      </c>
      <c r="H36">
        <v>1</v>
      </c>
      <c r="I36" t="str">
        <v>Audi</v>
      </c>
      <c r="J36" t="str">
        <v>Q5</v>
      </c>
      <c r="K36" t="str">
        <v>Unknown</v>
      </c>
      <c r="L36" t="str">
        <v>each</v>
      </c>
      <c r="M36">
        <v>1</v>
      </c>
      <c r="N36">
        <v>95</v>
      </c>
      <c r="O36" t="str">
        <v>unknown</v>
      </c>
      <c r="P36" t="str">
        <v>Jae Auto Pte Ltd</v>
      </c>
      <c r="Q36" t="str">
        <v>AR201805-03001</v>
      </c>
      <c r="R36" t="str">
        <v>05/07/2018</v>
      </c>
      <c r="S36" t="str">
        <v>excel</v>
      </c>
      <c r="T36" t="str">
        <v>Google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</row>
    <row r="37">
      <c r="A37" t="str">
        <v>C05</v>
      </c>
      <c r="B37" t="str">
        <v>Front Bumper Fog Lamp RH</v>
      </c>
      <c r="C37">
        <v>95</v>
      </c>
      <c r="D37">
        <v>125</v>
      </c>
      <c r="E37">
        <v>1.32</v>
      </c>
      <c r="F37" t="str">
        <v>Front Bumper Fog Lamp Cover LH</v>
      </c>
      <c r="G37" t="str">
        <v>8R0807681M BJI</v>
      </c>
      <c r="H37">
        <v>1</v>
      </c>
      <c r="I37" t="str">
        <v>Audi</v>
      </c>
      <c r="J37" t="str">
        <v>Q5</v>
      </c>
      <c r="K37" t="str">
        <v>Unknown</v>
      </c>
      <c r="L37" t="str">
        <v>each</v>
      </c>
      <c r="M37">
        <v>1</v>
      </c>
      <c r="N37">
        <v>125</v>
      </c>
      <c r="O37" t="str">
        <v>unknown</v>
      </c>
      <c r="P37" t="str">
        <v>Jae Auto Pte Ltd</v>
      </c>
      <c r="Q37" t="str">
        <v>AR201804-1417</v>
      </c>
      <c r="R37" t="str">
        <v>25/04/2018</v>
      </c>
      <c r="S37" t="str">
        <v>excel</v>
      </c>
      <c r="T37" t="str">
        <v>Google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</row>
    <row r="38">
      <c r="A38" t="str">
        <v>C05</v>
      </c>
      <c r="B38" t="str">
        <v>Front Bumper Fog Lamp RH</v>
      </c>
      <c r="C38">
        <v>95</v>
      </c>
      <c r="D38">
        <v>125</v>
      </c>
      <c r="E38">
        <v>1.32</v>
      </c>
      <c r="F38" t="str">
        <v>Front Bumper Fog Lamp Cover RH</v>
      </c>
      <c r="G38" t="str">
        <v>8R0807682J BJI</v>
      </c>
      <c r="H38">
        <v>1</v>
      </c>
      <c r="I38" t="str">
        <v>Audi</v>
      </c>
      <c r="J38" t="str">
        <v>Q5</v>
      </c>
      <c r="K38" t="str">
        <v>Unknown</v>
      </c>
      <c r="L38" t="str">
        <v>each</v>
      </c>
      <c r="M38">
        <v>1</v>
      </c>
      <c r="N38">
        <v>125</v>
      </c>
      <c r="O38" t="str">
        <v>unknown</v>
      </c>
      <c r="P38" t="str">
        <v>Jae Auto Pte Ltd</v>
      </c>
      <c r="Q38" t="str">
        <v>AR201804-1417</v>
      </c>
      <c r="R38" t="str">
        <v>25/04/2018</v>
      </c>
      <c r="S38" t="str">
        <v>excel</v>
      </c>
      <c r="T38" t="str">
        <v>Google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</row>
    <row r="39">
      <c r="A39" t="str">
        <v>C06</v>
      </c>
      <c r="B39" t="str">
        <v>FR FENDER LH</v>
      </c>
      <c r="C39">
        <v>210</v>
      </c>
      <c r="D39">
        <v>75</v>
      </c>
      <c r="E39">
        <v>0.36</v>
      </c>
      <c r="F39" t="str">
        <v>FR FENDER RH</v>
      </c>
      <c r="G39" t="str">
        <v>ZZT53801-26011</v>
      </c>
      <c r="H39">
        <v>1</v>
      </c>
      <c r="I39" t="str">
        <v>Toyota</v>
      </c>
      <c r="J39" t="str">
        <v>KDH201</v>
      </c>
      <c r="K39" t="str">
        <v>Unknown</v>
      </c>
      <c r="L39" t="str">
        <v>each</v>
      </c>
      <c r="M39">
        <v>1</v>
      </c>
      <c r="N39">
        <v>75</v>
      </c>
      <c r="O39" t="str">
        <v>excl</v>
      </c>
      <c r="P39" t="str">
        <v>FORTUNA AUTOMOTIVE PTE LTD</v>
      </c>
      <c r="Q39" t="str">
        <v>CL2508266</v>
      </c>
      <c r="R39" t="str">
        <v>14/08/2025</v>
      </c>
      <c r="S39" t="str">
        <v>excel</v>
      </c>
      <c r="T39" t="str">
        <v>Google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</row>
    <row r="40">
      <c r="A40" t="str">
        <v>C06</v>
      </c>
      <c r="B40" t="str">
        <v>FR FENDER LH</v>
      </c>
      <c r="C40">
        <v>210</v>
      </c>
      <c r="D40">
        <v>85</v>
      </c>
      <c r="E40">
        <v>0.4</v>
      </c>
      <c r="F40" t="str">
        <v>FRT FENDER LH</v>
      </c>
      <c r="G40" t="str">
        <v>53802-26031</v>
      </c>
      <c r="H40">
        <v>1</v>
      </c>
      <c r="I40" t="str">
        <v>Toyota</v>
      </c>
      <c r="J40" t="str">
        <v>—</v>
      </c>
      <c r="K40" t="str">
        <v>Unknown</v>
      </c>
      <c r="L40" t="str">
        <v>each</v>
      </c>
      <c r="M40">
        <v>1</v>
      </c>
      <c r="N40">
        <v>85</v>
      </c>
      <c r="O40" t="str">
        <v>excl</v>
      </c>
      <c r="P40" t="str">
        <v>JAE AUTO PTE LTD</v>
      </c>
      <c r="Q40" t="str">
        <v>AR202511-06143</v>
      </c>
      <c r="R40" t="str">
        <v>14/11/2025</v>
      </c>
      <c r="S40" t="str">
        <v>excel</v>
      </c>
      <c r="T40" t="str">
        <v>Google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</row>
    <row r="41">
      <c r="A41" t="str">
        <v>C06</v>
      </c>
      <c r="B41" t="str">
        <v>FR FENDER LH</v>
      </c>
      <c r="C41">
        <v>210</v>
      </c>
      <c r="D41">
        <v>90</v>
      </c>
      <c r="E41">
        <v>0.43</v>
      </c>
      <c r="F41" t="str">
        <v>FRT FENDER LH</v>
      </c>
      <c r="G41" t="str">
        <v>T53802-26021</v>
      </c>
      <c r="H41">
        <v>2</v>
      </c>
      <c r="I41" t="str">
        <v>Toyota</v>
      </c>
      <c r="J41" t="str">
        <v>Hiace KDH200</v>
      </c>
      <c r="K41" t="str">
        <v>Unknown</v>
      </c>
      <c r="L41" t="str">
        <v>each</v>
      </c>
      <c r="M41">
        <v>1</v>
      </c>
      <c r="N41">
        <v>90</v>
      </c>
      <c r="O41" t="str">
        <v>excl</v>
      </c>
      <c r="P41" t="str">
        <v>JAE AUTO PTE LTD</v>
      </c>
      <c r="Q41" t="str">
        <v>AR202601-08997</v>
      </c>
      <c r="R41" t="str">
        <v>21/01/2026</v>
      </c>
      <c r="S41" t="str">
        <v>excel</v>
      </c>
      <c r="T41" t="str">
        <v>Google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</row>
    <row r="42">
      <c r="A42" t="str">
        <v>C06</v>
      </c>
      <c r="B42" t="str">
        <v>FR FENDER LH</v>
      </c>
      <c r="C42">
        <v>210</v>
      </c>
      <c r="D42">
        <v>120</v>
      </c>
      <c r="E42">
        <v>0.57</v>
      </c>
      <c r="F42" t="str">
        <v>FRT FENDER LH</v>
      </c>
      <c r="G42" t="str">
        <v>T53802-26021</v>
      </c>
      <c r="H42">
        <v>2</v>
      </c>
      <c r="I42" t="str">
        <v>Toyota</v>
      </c>
      <c r="J42" t="str">
        <v>Hiace KDH200/KDH201</v>
      </c>
      <c r="K42" t="str">
        <v>Unknown</v>
      </c>
      <c r="L42" t="str">
        <v>each</v>
      </c>
      <c r="M42">
        <v>1</v>
      </c>
      <c r="N42">
        <v>120</v>
      </c>
      <c r="O42" t="str">
        <v>excl</v>
      </c>
      <c r="P42" t="str">
        <v>JAE AUTO PTE LTD</v>
      </c>
      <c r="Q42" t="str">
        <v>AR202507-13388</v>
      </c>
      <c r="R42" t="str">
        <v>01/07/2025</v>
      </c>
      <c r="S42" t="str">
        <v>excel</v>
      </c>
      <c r="T42" t="str">
        <v>Google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</row>
    <row r="43">
      <c r="A43" t="str">
        <v>C06</v>
      </c>
      <c r="B43" t="str">
        <v>FR FENDER LH</v>
      </c>
      <c r="C43">
        <v>210</v>
      </c>
      <c r="D43">
        <v>210</v>
      </c>
      <c r="E43">
        <v>1</v>
      </c>
      <c r="F43" t="str">
        <v>FR FENDER LH</v>
      </c>
      <c r="G43" t="str">
        <v>T53812-0D220</v>
      </c>
      <c r="H43">
        <v>1</v>
      </c>
      <c r="I43" t="str">
        <v>Toyota</v>
      </c>
      <c r="J43" t="str">
        <v>Sienta</v>
      </c>
      <c r="K43" t="str">
        <v>Unknown</v>
      </c>
      <c r="L43" t="str">
        <v>each</v>
      </c>
      <c r="M43">
        <v>1</v>
      </c>
      <c r="N43">
        <v>210</v>
      </c>
      <c r="O43" t="str">
        <v>excl</v>
      </c>
      <c r="P43" t="str">
        <v>HE XING AUTO PARTS PTE LTD</v>
      </c>
      <c r="Q43" t="str">
        <v>DLI9281716</v>
      </c>
      <c r="R43" t="str">
        <v>10/05/2025</v>
      </c>
      <c r="S43" t="str">
        <v>excel</v>
      </c>
      <c r="T43" t="str">
        <v>Google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</row>
    <row r="44">
      <c r="A44" t="str">
        <v>C06</v>
      </c>
      <c r="B44" t="str">
        <v>FR FENDER LH</v>
      </c>
      <c r="C44">
        <v>210</v>
      </c>
      <c r="D44">
        <v>260</v>
      </c>
      <c r="E44">
        <v>1.24</v>
      </c>
      <c r="F44" t="str">
        <v>FR FENDER LH</v>
      </c>
      <c r="G44" t="str">
        <v>T53812-B1320</v>
      </c>
      <c r="H44">
        <v>1</v>
      </c>
      <c r="I44" t="str">
        <v>Toyota</v>
      </c>
      <c r="J44" t="str">
        <v>—</v>
      </c>
      <c r="K44" t="str">
        <v>Unknown</v>
      </c>
      <c r="L44" t="str">
        <v>each</v>
      </c>
      <c r="M44">
        <v>1</v>
      </c>
      <c r="N44">
        <v>260</v>
      </c>
      <c r="O44" t="str">
        <v>excl</v>
      </c>
      <c r="P44" t="str">
        <v>HE XING AUTO PARTS PTE LTD</v>
      </c>
      <c r="Q44" t="str">
        <v>DLI9284206</v>
      </c>
      <c r="R44" t="str">
        <v>09/09/2025</v>
      </c>
      <c r="S44" t="str">
        <v>excel</v>
      </c>
      <c r="T44" t="str">
        <v>Google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</row>
    <row r="45">
      <c r="A45" t="str">
        <v>C06</v>
      </c>
      <c r="B45" t="str">
        <v>FR FENDER LH</v>
      </c>
      <c r="C45">
        <v>210</v>
      </c>
      <c r="D45">
        <v>330</v>
      </c>
      <c r="E45">
        <v>1.57</v>
      </c>
      <c r="F45" t="str">
        <v>FRT FENDER RH</v>
      </c>
      <c r="G45" t="str">
        <v>T53811-48210</v>
      </c>
      <c r="H45">
        <v>1</v>
      </c>
      <c r="I45" t="str">
        <v>Toyota</v>
      </c>
      <c r="J45" t="str">
        <v>—</v>
      </c>
      <c r="K45" t="str">
        <v>Unknown</v>
      </c>
      <c r="L45" t="str">
        <v>each</v>
      </c>
      <c r="M45">
        <v>1</v>
      </c>
      <c r="N45">
        <v>330</v>
      </c>
      <c r="O45" t="str">
        <v>excl</v>
      </c>
      <c r="P45" t="str">
        <v>JAE AUTO PTE LTD</v>
      </c>
      <c r="Q45" t="str">
        <v>AR202601-05752</v>
      </c>
      <c r="R45" t="str">
        <v>14/01/2026</v>
      </c>
      <c r="S45" t="str">
        <v>excel</v>
      </c>
      <c r="T45" t="str">
        <v>Google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</row>
    <row r="46">
      <c r="A46" t="str">
        <v>C06</v>
      </c>
      <c r="B46" t="str">
        <v>FR FENDER LH</v>
      </c>
      <c r="C46">
        <v>210</v>
      </c>
      <c r="D46">
        <v>380</v>
      </c>
      <c r="E46">
        <v>1.81</v>
      </c>
      <c r="F46" t="str">
        <v>FR FENDER RH</v>
      </c>
      <c r="G46" t="str">
        <v>T53811-78010</v>
      </c>
      <c r="H46">
        <v>1</v>
      </c>
      <c r="I46" t="str">
        <v>Toyota</v>
      </c>
      <c r="J46" t="str">
        <v>—</v>
      </c>
      <c r="K46" t="str">
        <v>Unknown</v>
      </c>
      <c r="L46" t="str">
        <v>each</v>
      </c>
      <c r="M46">
        <v>1</v>
      </c>
      <c r="N46">
        <v>380</v>
      </c>
      <c r="O46" t="str">
        <v>excl</v>
      </c>
      <c r="P46" t="str">
        <v>HE XING AUTO PARTS PTE LTD</v>
      </c>
      <c r="Q46" t="str">
        <v>DLI9285054</v>
      </c>
      <c r="R46" t="str">
        <v>25/10/2025</v>
      </c>
      <c r="S46" t="str">
        <v>excel</v>
      </c>
      <c r="T46" t="str">
        <v>Google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</row>
    <row r="47">
      <c r="A47" t="str">
        <v>C06</v>
      </c>
      <c r="B47" t="str">
        <v>FR FENDER LH</v>
      </c>
      <c r="C47">
        <v>210</v>
      </c>
      <c r="D47">
        <v>380</v>
      </c>
      <c r="E47">
        <v>1.81</v>
      </c>
      <c r="F47" t="str">
        <v>FR FENDER RH</v>
      </c>
      <c r="G47" t="str">
        <v>T53811-28180</v>
      </c>
      <c r="H47">
        <v>1</v>
      </c>
      <c r="I47" t="str">
        <v>Toyota</v>
      </c>
      <c r="J47" t="str">
        <v>—</v>
      </c>
      <c r="K47" t="str">
        <v>Unknown</v>
      </c>
      <c r="L47" t="str">
        <v>each</v>
      </c>
      <c r="M47">
        <v>1</v>
      </c>
      <c r="N47">
        <v>380</v>
      </c>
      <c r="O47" t="str">
        <v>excl</v>
      </c>
      <c r="P47" t="str">
        <v>HE XING AUTO PARTS PTE LTD</v>
      </c>
      <c r="Q47" t="str">
        <v>DLI9285374</v>
      </c>
      <c r="R47" t="str">
        <v>10/11/2025</v>
      </c>
      <c r="S47" t="str">
        <v>excel</v>
      </c>
      <c r="T47" t="str">
        <v>Google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</row>
    <row r="48">
      <c r="A48" t="str">
        <v>C07</v>
      </c>
      <c r="B48" t="str">
        <v>FRT BUMPER GRILLE LH</v>
      </c>
      <c r="C48">
        <v>82.5</v>
      </c>
      <c r="D48">
        <v>40</v>
      </c>
      <c r="E48">
        <v>0.48</v>
      </c>
      <c r="F48" t="str">
        <v>FRT BUMPER GRILLE LH</v>
      </c>
      <c r="G48" t="str">
        <v>T53113-26060</v>
      </c>
      <c r="H48">
        <v>2</v>
      </c>
      <c r="I48" t="str">
        <v>Toyota</v>
      </c>
      <c r="J48" t="str">
        <v>—</v>
      </c>
      <c r="K48" t="str">
        <v>Unknown</v>
      </c>
      <c r="L48" t="str">
        <v>each</v>
      </c>
      <c r="M48">
        <v>1</v>
      </c>
      <c r="N48">
        <v>40</v>
      </c>
      <c r="O48" t="str">
        <v>excl</v>
      </c>
      <c r="P48" t="str">
        <v>JAE AUTO PTE LTD</v>
      </c>
      <c r="Q48" t="str">
        <v>AR202511-06653</v>
      </c>
      <c r="R48" t="str">
        <v>14/11/2025</v>
      </c>
      <c r="S48" t="str">
        <v>excel</v>
      </c>
      <c r="T48" t="str">
        <v>Google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</row>
    <row r="49">
      <c r="A49" t="str">
        <v>C07</v>
      </c>
      <c r="B49" t="str">
        <v>FRT BUMPER GRILLE LH</v>
      </c>
      <c r="C49">
        <v>82.5</v>
      </c>
      <c r="D49">
        <v>50</v>
      </c>
      <c r="E49">
        <v>0.61</v>
      </c>
      <c r="F49" t="str">
        <v>FRT BUMPER GRILLE LH</v>
      </c>
      <c r="G49" t="str">
        <v>T53113-26060</v>
      </c>
      <c r="H49">
        <v>2</v>
      </c>
      <c r="I49" t="str">
        <v>Toyota</v>
      </c>
      <c r="J49" t="str">
        <v>—</v>
      </c>
      <c r="K49" t="str">
        <v>Unknown</v>
      </c>
      <c r="L49" t="str">
        <v>each</v>
      </c>
      <c r="M49">
        <v>1</v>
      </c>
      <c r="N49">
        <v>50</v>
      </c>
      <c r="O49" t="str">
        <v>excl</v>
      </c>
      <c r="P49" t="str">
        <v>JAE AUTO PTE LTD</v>
      </c>
      <c r="Q49" t="str">
        <v>AR202509-09589</v>
      </c>
      <c r="R49" t="str">
        <v>22/09/2025</v>
      </c>
      <c r="S49" t="str">
        <v>excel</v>
      </c>
      <c r="T49" t="str">
        <v>Google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</row>
    <row r="50">
      <c r="A50" t="str">
        <v>C07</v>
      </c>
      <c r="B50" t="str">
        <v>FRT BUMPER GRILLE LH</v>
      </c>
      <c r="C50">
        <v>82.5</v>
      </c>
      <c r="D50">
        <v>60</v>
      </c>
      <c r="E50">
        <v>0.73</v>
      </c>
      <c r="F50" t="str">
        <v>FRT BUMPER LWR GRILLE</v>
      </c>
      <c r="G50" t="str">
        <v>T53112-26070</v>
      </c>
      <c r="H50">
        <v>4</v>
      </c>
      <c r="I50" t="str">
        <v>Toyota</v>
      </c>
      <c r="J50" t="str">
        <v>—</v>
      </c>
      <c r="K50" t="str">
        <v>Unknown</v>
      </c>
      <c r="L50" t="str">
        <v>each</v>
      </c>
      <c r="M50">
        <v>1</v>
      </c>
      <c r="N50">
        <v>60</v>
      </c>
      <c r="O50" t="str">
        <v>excl</v>
      </c>
      <c r="P50" t="str">
        <v>JAE AUTO PTE LTD</v>
      </c>
      <c r="Q50" t="str">
        <v>AR202509-09989</v>
      </c>
      <c r="R50" t="str">
        <v>23/09/2025</v>
      </c>
      <c r="S50" t="str">
        <v>excel</v>
      </c>
      <c r="T50" t="str">
        <v>Google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</row>
    <row r="51">
      <c r="A51" t="str">
        <v>C07</v>
      </c>
      <c r="B51" t="str">
        <v>FRT BUMPER GRILLE LH</v>
      </c>
      <c r="C51">
        <v>82.5</v>
      </c>
      <c r="D51">
        <v>75</v>
      </c>
      <c r="E51">
        <v>0.91</v>
      </c>
      <c r="F51" t="str">
        <v>FRT BUMPER LWR GRILLE</v>
      </c>
      <c r="G51" t="str">
        <v>T53112-26070</v>
      </c>
      <c r="H51">
        <v>4</v>
      </c>
      <c r="I51" t="str">
        <v>Toyota</v>
      </c>
      <c r="J51" t="str">
        <v>—</v>
      </c>
      <c r="K51" t="str">
        <v>Unknown</v>
      </c>
      <c r="L51" t="str">
        <v>each</v>
      </c>
      <c r="M51">
        <v>1</v>
      </c>
      <c r="N51">
        <v>75</v>
      </c>
      <c r="O51" t="str">
        <v>excl</v>
      </c>
      <c r="P51" t="str">
        <v>JAE AUTO PTE LTD</v>
      </c>
      <c r="Q51" t="str">
        <v>AR202511-08382</v>
      </c>
      <c r="R51" t="str">
        <v>20/11/2025</v>
      </c>
      <c r="S51" t="str">
        <v>excel</v>
      </c>
      <c r="T51" t="str">
        <v>Google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</row>
    <row r="52">
      <c r="A52" t="str">
        <v>C07</v>
      </c>
      <c r="B52" t="str">
        <v>FRT BUMPER GRILLE LH</v>
      </c>
      <c r="C52">
        <v>82.5</v>
      </c>
      <c r="D52">
        <v>90</v>
      </c>
      <c r="E52">
        <v>1.09</v>
      </c>
      <c r="F52" t="str">
        <v>FRT BUMPER LWR GRILLE</v>
      </c>
      <c r="G52" t="str">
        <v>T53112-26070</v>
      </c>
      <c r="H52">
        <v>4</v>
      </c>
      <c r="I52" t="str">
        <v>Toyota</v>
      </c>
      <c r="J52" t="str">
        <v>Hiace KDH200/KDH201</v>
      </c>
      <c r="K52" t="str">
        <v>Unknown</v>
      </c>
      <c r="L52" t="str">
        <v>each</v>
      </c>
      <c r="M52">
        <v>1</v>
      </c>
      <c r="N52">
        <v>90</v>
      </c>
      <c r="O52" t="str">
        <v>excl</v>
      </c>
      <c r="P52" t="str">
        <v>JAE AUTO PTE LTD</v>
      </c>
      <c r="Q52" t="str">
        <v>AR202507-13388</v>
      </c>
      <c r="R52" t="str">
        <v>01/07/2025</v>
      </c>
      <c r="S52" t="str">
        <v>excel</v>
      </c>
      <c r="T52" t="str">
        <v>Google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</row>
    <row r="53">
      <c r="A53" t="str">
        <v>C07</v>
      </c>
      <c r="B53" t="str">
        <v>FRT BUMPER GRILLE LH</v>
      </c>
      <c r="C53">
        <v>82.5</v>
      </c>
      <c r="D53">
        <v>110</v>
      </c>
      <c r="E53">
        <v>1.33</v>
      </c>
      <c r="F53" t="str">
        <v>FRT BUMPER LWR GRILLE</v>
      </c>
      <c r="G53" t="str">
        <v>T53112-26070</v>
      </c>
      <c r="H53">
        <v>4</v>
      </c>
      <c r="I53" t="str">
        <v>Toyota</v>
      </c>
      <c r="J53" t="str">
        <v>Hiace KDH200</v>
      </c>
      <c r="K53" t="str">
        <v>Unknown</v>
      </c>
      <c r="L53" t="str">
        <v>each</v>
      </c>
      <c r="M53">
        <v>1</v>
      </c>
      <c r="N53">
        <v>110</v>
      </c>
      <c r="O53" t="str">
        <v>excl</v>
      </c>
      <c r="P53" t="str">
        <v>JAE AUTO PTE LTD</v>
      </c>
      <c r="Q53" t="str">
        <v>AR202601-08997</v>
      </c>
      <c r="R53" t="str">
        <v>21/01/2026</v>
      </c>
      <c r="S53" t="str">
        <v>excel</v>
      </c>
      <c r="T53" t="str">
        <v>Google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</row>
    <row r="54">
      <c r="A54" t="str">
        <v>C07</v>
      </c>
      <c r="B54" t="str">
        <v>FRT BUMPER GRILLE LH</v>
      </c>
      <c r="C54">
        <v>82.5</v>
      </c>
      <c r="D54">
        <v>120</v>
      </c>
      <c r="E54">
        <v>1.45</v>
      </c>
      <c r="F54" t="str">
        <v>FRT BUMPER LWR GRILLE</v>
      </c>
      <c r="G54" t="str">
        <v>T53112-48150</v>
      </c>
      <c r="H54">
        <v>1</v>
      </c>
      <c r="I54" t="str">
        <v>Toyota</v>
      </c>
      <c r="J54" t="str">
        <v>—</v>
      </c>
      <c r="K54" t="str">
        <v>Unknown</v>
      </c>
      <c r="L54" t="str">
        <v>each</v>
      </c>
      <c r="M54">
        <v>1</v>
      </c>
      <c r="N54">
        <v>120</v>
      </c>
      <c r="O54" t="str">
        <v>excl</v>
      </c>
      <c r="P54" t="str">
        <v>JAE AUTO PTE LTD</v>
      </c>
      <c r="Q54" t="str">
        <v>AR202601-05752</v>
      </c>
      <c r="R54" t="str">
        <v>14/01/2026</v>
      </c>
      <c r="S54" t="str">
        <v>excel</v>
      </c>
      <c r="T54" t="str">
        <v>Google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</row>
    <row r="55">
      <c r="A55" t="str">
        <v>C07</v>
      </c>
      <c r="B55" t="str">
        <v>FRT BUMPER GRILLE LH</v>
      </c>
      <c r="C55">
        <v>82.5</v>
      </c>
      <c r="D55">
        <v>200</v>
      </c>
      <c r="E55">
        <v>2.42</v>
      </c>
      <c r="F55" t="str">
        <v>FRT BUMPER LWR GRILLE</v>
      </c>
      <c r="G55" t="str">
        <v>T53112-0D540</v>
      </c>
      <c r="H55">
        <v>1</v>
      </c>
      <c r="I55" t="str">
        <v>Toyota</v>
      </c>
      <c r="J55" t="str">
        <v>Vios</v>
      </c>
      <c r="K55" t="str">
        <v>Unknown</v>
      </c>
      <c r="L55" t="str">
        <v>each</v>
      </c>
      <c r="M55">
        <v>1</v>
      </c>
      <c r="N55">
        <v>200</v>
      </c>
      <c r="O55" t="str">
        <v>excl</v>
      </c>
      <c r="P55" t="str">
        <v>JAE AUTO PTE LTD</v>
      </c>
      <c r="Q55" t="str">
        <v>AR202509-09467</v>
      </c>
      <c r="R55" t="str">
        <v>22/09/2025</v>
      </c>
      <c r="S55" t="str">
        <v>excel</v>
      </c>
      <c r="T55" t="str">
        <v>Google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</row>
    <row r="56">
      <c r="A56" t="str">
        <v>C08</v>
      </c>
      <c r="B56" t="str">
        <v>SUPPORT PANEL</v>
      </c>
      <c r="C56">
        <v>185</v>
      </c>
      <c r="D56">
        <v>135</v>
      </c>
      <c r="E56">
        <v>0.73</v>
      </c>
      <c r="F56" t="str">
        <v>SUPPORT PANEL TOP</v>
      </c>
      <c r="G56" t="str">
        <v>T53216-06170</v>
      </c>
      <c r="H56">
        <v>1</v>
      </c>
      <c r="I56" t="str">
        <v>Toyota</v>
      </c>
      <c r="J56" t="str">
        <v>Camry</v>
      </c>
      <c r="K56" t="str">
        <v>Unknown</v>
      </c>
      <c r="L56" t="str">
        <v>each</v>
      </c>
      <c r="M56">
        <v>1</v>
      </c>
      <c r="N56">
        <v>135</v>
      </c>
      <c r="O56" t="str">
        <v>excl</v>
      </c>
      <c r="P56" t="str">
        <v>HE XING AUTO PARTS PTE LTD</v>
      </c>
      <c r="Q56" t="str">
        <v>DLI9286779</v>
      </c>
      <c r="R56" t="str">
        <v>24/01/2026</v>
      </c>
      <c r="S56" t="str">
        <v>excel</v>
      </c>
      <c r="T56" t="str">
        <v>Google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</row>
    <row r="57">
      <c r="A57" t="str">
        <v>C08</v>
      </c>
      <c r="B57" t="str">
        <v>SUPPORT PANEL</v>
      </c>
      <c r="C57">
        <v>185</v>
      </c>
      <c r="D57">
        <v>170</v>
      </c>
      <c r="E57">
        <v>0.92</v>
      </c>
      <c r="F57" t="str">
        <v>SUPPORT PANEL 11"</v>
      </c>
      <c r="G57" t="str">
        <v>T53201-26082 KDH201</v>
      </c>
      <c r="H57">
        <v>1</v>
      </c>
      <c r="I57" t="str">
        <v>Toyota</v>
      </c>
      <c r="J57" t="str">
        <v>Hiace KDH200</v>
      </c>
      <c r="K57" t="str">
        <v>Unknown</v>
      </c>
      <c r="L57" t="str">
        <v>each</v>
      </c>
      <c r="M57">
        <v>1</v>
      </c>
      <c r="N57">
        <v>170</v>
      </c>
      <c r="O57" t="str">
        <v>excl</v>
      </c>
      <c r="P57" t="str">
        <v>JAE AUTO PTE LTD</v>
      </c>
      <c r="Q57" t="str">
        <v>AR202511-06073</v>
      </c>
      <c r="R57" t="str">
        <v>14/11/2025</v>
      </c>
      <c r="S57" t="str">
        <v>excel</v>
      </c>
      <c r="T57" t="str">
        <v>Google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</row>
    <row r="58">
      <c r="A58" t="str">
        <v>C08</v>
      </c>
      <c r="B58" t="str">
        <v>SUPPORT PANEL</v>
      </c>
      <c r="C58">
        <v>185</v>
      </c>
      <c r="D58">
        <v>180</v>
      </c>
      <c r="E58">
        <v>0.97</v>
      </c>
      <c r="F58" t="str">
        <v>SUPPORT PANEL</v>
      </c>
      <c r="G58" t="str">
        <v>T53201-26082</v>
      </c>
      <c r="H58">
        <v>3</v>
      </c>
      <c r="I58" t="str">
        <v>Toyota</v>
      </c>
      <c r="J58" t="str">
        <v>—</v>
      </c>
      <c r="K58" t="str">
        <v>Unknown</v>
      </c>
      <c r="L58" t="str">
        <v>each</v>
      </c>
      <c r="M58">
        <v>1</v>
      </c>
      <c r="N58">
        <v>180</v>
      </c>
      <c r="O58" t="str">
        <v>excl</v>
      </c>
      <c r="P58" t="str">
        <v>HE XING AUTO PARTS PTE LTD</v>
      </c>
      <c r="Q58" t="str">
        <v>DLI9285352</v>
      </c>
      <c r="R58" t="str">
        <v>10/11/2025</v>
      </c>
      <c r="S58" t="str">
        <v>excel</v>
      </c>
      <c r="T58" t="str">
        <v>Google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</row>
    <row r="59">
      <c r="A59" t="str">
        <v>C08</v>
      </c>
      <c r="B59" t="str">
        <v>SUPPORT PANEL</v>
      </c>
      <c r="C59">
        <v>185</v>
      </c>
      <c r="D59">
        <v>190</v>
      </c>
      <c r="E59">
        <v>1.03</v>
      </c>
      <c r="F59" t="str">
        <v>SUPPORT PANEL 11"</v>
      </c>
      <c r="G59" t="str">
        <v>T53201-26082</v>
      </c>
      <c r="H59">
        <v>3</v>
      </c>
      <c r="I59" t="str">
        <v>Toyota</v>
      </c>
      <c r="J59" t="str">
        <v>Hiace KDH200</v>
      </c>
      <c r="K59" t="str">
        <v>Unknown</v>
      </c>
      <c r="L59" t="str">
        <v>each</v>
      </c>
      <c r="M59">
        <v>1</v>
      </c>
      <c r="N59">
        <v>190</v>
      </c>
      <c r="O59" t="str">
        <v>excl</v>
      </c>
      <c r="P59" t="str">
        <v>JAE AUTO PTE LTD</v>
      </c>
      <c r="Q59" t="str">
        <v>AR202601-08997</v>
      </c>
      <c r="R59" t="str">
        <v>21/01/2026</v>
      </c>
      <c r="S59" t="str">
        <v>excel</v>
      </c>
      <c r="T59" t="str">
        <v>Google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</row>
    <row r="60">
      <c r="A60" t="str">
        <v>C08</v>
      </c>
      <c r="B60" t="str">
        <v>SUPPORT PANEL</v>
      </c>
      <c r="C60">
        <v>185</v>
      </c>
      <c r="D60">
        <v>240</v>
      </c>
      <c r="E60">
        <v>1.3</v>
      </c>
      <c r="F60" t="str">
        <v>SUPPORT PANEL 11"</v>
      </c>
      <c r="G60" t="str">
        <v>T53201-26082</v>
      </c>
      <c r="H60">
        <v>3</v>
      </c>
      <c r="I60" t="str">
        <v>Toyota</v>
      </c>
      <c r="J60" t="str">
        <v>Hiace KDH200/KDH201</v>
      </c>
      <c r="K60" t="str">
        <v>Unknown</v>
      </c>
      <c r="L60" t="str">
        <v>each</v>
      </c>
      <c r="M60">
        <v>1</v>
      </c>
      <c r="N60">
        <v>240</v>
      </c>
      <c r="O60" t="str">
        <v>excl</v>
      </c>
      <c r="P60" t="str">
        <v>JAE AUTO PTE LTD</v>
      </c>
      <c r="Q60" t="str">
        <v>AR202507-13388</v>
      </c>
      <c r="R60" t="str">
        <v>01/07/2025</v>
      </c>
      <c r="S60" t="str">
        <v>excel</v>
      </c>
      <c r="T60" t="str">
        <v>Google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</row>
    <row r="61">
      <c r="A61" t="str">
        <v>C08</v>
      </c>
      <c r="B61" t="str">
        <v>SUPPORT PANEL</v>
      </c>
      <c r="C61">
        <v>185</v>
      </c>
      <c r="D61">
        <v>600</v>
      </c>
      <c r="E61">
        <v>3.24</v>
      </c>
      <c r="F61" t="str">
        <v>SUPPORT PANEL</v>
      </c>
      <c r="G61" t="str">
        <v>T53205-28200</v>
      </c>
      <c r="H61">
        <v>1</v>
      </c>
      <c r="I61" t="str">
        <v>Toyota</v>
      </c>
      <c r="J61" t="str">
        <v>—</v>
      </c>
      <c r="K61" t="str">
        <v>Unknown</v>
      </c>
      <c r="L61" t="str">
        <v>each</v>
      </c>
      <c r="M61">
        <v>1</v>
      </c>
      <c r="N61">
        <v>600</v>
      </c>
      <c r="O61" t="str">
        <v>excl</v>
      </c>
      <c r="P61" t="str">
        <v>HE XING AUTO PARTS PTE LTD</v>
      </c>
      <c r="Q61" t="str">
        <v>DLI9285374</v>
      </c>
      <c r="R61" t="str">
        <v>10/11/2025</v>
      </c>
      <c r="S61" t="str">
        <v>excel</v>
      </c>
      <c r="T61" t="str">
        <v>Google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</row>
    <row r="62">
      <c r="A62" t="str">
        <v>C09</v>
      </c>
      <c r="B62" t="str">
        <v>CARRIER</v>
      </c>
      <c r="C62">
        <v>280</v>
      </c>
      <c r="D62">
        <v>195</v>
      </c>
      <c r="E62">
        <v>0.7</v>
      </c>
      <c r="F62" t="str">
        <v>CARRIER</v>
      </c>
      <c r="G62" t="str">
        <v>MBA156 888 06 00 9040</v>
      </c>
      <c r="H62">
        <v>1</v>
      </c>
      <c r="I62" t="str">
        <v>Mercedes-Benz</v>
      </c>
      <c r="J62" t="str">
        <v>—</v>
      </c>
      <c r="K62" t="str">
        <v>Unknown</v>
      </c>
      <c r="L62" t="str">
        <v>each</v>
      </c>
      <c r="M62">
        <v>1</v>
      </c>
      <c r="N62">
        <v>195</v>
      </c>
      <c r="O62" t="str">
        <v>excl</v>
      </c>
      <c r="P62" t="str">
        <v>MIN GHEE AUTO PTE LTD</v>
      </c>
      <c r="Q62" t="str">
        <v>8397352</v>
      </c>
      <c r="R62" t="str">
        <v>03/07/2025</v>
      </c>
      <c r="S62" t="str">
        <v>excel</v>
      </c>
      <c r="T62" t="str">
        <v>Google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</row>
    <row r="63">
      <c r="A63" t="str">
        <v>C09</v>
      </c>
      <c r="B63" t="str">
        <v>CARRIER</v>
      </c>
      <c r="C63">
        <v>280</v>
      </c>
      <c r="D63">
        <v>195</v>
      </c>
      <c r="E63">
        <v>0.7</v>
      </c>
      <c r="F63" t="str">
        <v>CARRIER</v>
      </c>
      <c r="G63" t="str">
        <v>MBA156 888 24 00 9040</v>
      </c>
      <c r="H63">
        <v>1</v>
      </c>
      <c r="I63" t="str">
        <v>Mercedes-Benz</v>
      </c>
      <c r="J63" t="str">
        <v>—</v>
      </c>
      <c r="K63" t="str">
        <v>Unknown</v>
      </c>
      <c r="L63" t="str">
        <v>each</v>
      </c>
      <c r="M63">
        <v>1</v>
      </c>
      <c r="N63">
        <v>195</v>
      </c>
      <c r="O63" t="str">
        <v>excl</v>
      </c>
      <c r="P63" t="str">
        <v>MIN GHEE AUTO PTE LTD</v>
      </c>
      <c r="Q63" t="str">
        <v>8397352</v>
      </c>
      <c r="R63" t="str">
        <v>03/07/2025</v>
      </c>
      <c r="S63" t="str">
        <v>excel</v>
      </c>
      <c r="T63" t="str">
        <v>Google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</row>
    <row r="64">
      <c r="A64" t="str">
        <v>C09</v>
      </c>
      <c r="B64" t="str">
        <v>CARRIER</v>
      </c>
      <c r="C64">
        <v>280</v>
      </c>
      <c r="D64">
        <v>280</v>
      </c>
      <c r="E64">
        <v>1</v>
      </c>
      <c r="F64" t="str">
        <v>CARRIER</v>
      </c>
      <c r="G64" t="str">
        <v>MBA156 880 64 00</v>
      </c>
      <c r="H64">
        <v>1</v>
      </c>
      <c r="I64" t="str">
        <v>Mercedes-Benz</v>
      </c>
      <c r="J64" t="str">
        <v>—</v>
      </c>
      <c r="K64" t="str">
        <v>Unknown</v>
      </c>
      <c r="L64" t="str">
        <v>each</v>
      </c>
      <c r="M64">
        <v>1</v>
      </c>
      <c r="N64">
        <v>280</v>
      </c>
      <c r="O64" t="str">
        <v>excl</v>
      </c>
      <c r="P64" t="str">
        <v>MIN GHEE AUTO PTE LTD</v>
      </c>
      <c r="Q64" t="str">
        <v>8397352</v>
      </c>
      <c r="R64" t="str">
        <v>03/07/2025</v>
      </c>
      <c r="S64" t="str">
        <v>excel</v>
      </c>
      <c r="T64" t="str">
        <v>Google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</row>
    <row r="65">
      <c r="A65" t="str">
        <v>C09</v>
      </c>
      <c r="B65" t="str">
        <v>CARRIER</v>
      </c>
      <c r="C65">
        <v>280</v>
      </c>
      <c r="D65">
        <v>360</v>
      </c>
      <c r="E65">
        <v>1.29</v>
      </c>
      <c r="F65" t="str">
        <v>ASSY. CARRIER, FRONT</v>
      </c>
      <c r="G65" t="str">
        <v>MBA253 620 18 01</v>
      </c>
      <c r="H65">
        <v>1</v>
      </c>
      <c r="I65" t="str">
        <v>Mercedes-Benz</v>
      </c>
      <c r="J65" t="str">
        <v>—</v>
      </c>
      <c r="K65" t="str">
        <v>Unknown</v>
      </c>
      <c r="L65" t="str">
        <v>each</v>
      </c>
      <c r="M65">
        <v>1</v>
      </c>
      <c r="N65">
        <v>360</v>
      </c>
      <c r="O65" t="str">
        <v>excl</v>
      </c>
      <c r="P65" t="str">
        <v>MIN GHEE AUTO PTE LTD</v>
      </c>
      <c r="Q65" t="str">
        <v>8414503</v>
      </c>
      <c r="R65" t="str">
        <v>03/12/2025</v>
      </c>
      <c r="S65" t="str">
        <v>excel</v>
      </c>
      <c r="T65" t="str">
        <v>Google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</row>
    <row r="66">
      <c r="A66" t="str">
        <v>C09</v>
      </c>
      <c r="B66" t="str">
        <v>CARRIER</v>
      </c>
      <c r="C66">
        <v>280</v>
      </c>
      <c r="D66">
        <v>820</v>
      </c>
      <c r="E66">
        <v>2.93</v>
      </c>
      <c r="F66" t="str">
        <v>CARRIER</v>
      </c>
      <c r="G66" t="str">
        <v>MBA246 620 02 34 64</v>
      </c>
      <c r="H66">
        <v>1</v>
      </c>
      <c r="I66" t="str">
        <v>Mercedes-Benz</v>
      </c>
      <c r="J66" t="str">
        <v>—</v>
      </c>
      <c r="K66" t="str">
        <v>Unknown</v>
      </c>
      <c r="L66" t="str">
        <v>each</v>
      </c>
      <c r="M66">
        <v>1</v>
      </c>
      <c r="N66">
        <v>820</v>
      </c>
      <c r="O66" t="str">
        <v>excl</v>
      </c>
      <c r="P66" t="str">
        <v>MIN GHEE AUTO PTE LTD</v>
      </c>
      <c r="Q66" t="str">
        <v>8397352</v>
      </c>
      <c r="R66" t="str">
        <v>03/07/2025</v>
      </c>
      <c r="S66" t="str">
        <v>excel</v>
      </c>
      <c r="T66" t="str">
        <v>Google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</row>
    <row r="67">
      <c r="A67" t="str">
        <v>C10</v>
      </c>
      <c r="B67" t="str">
        <v>Head Lamp RH 09" (TH)</v>
      </c>
      <c r="C67">
        <v>350</v>
      </c>
      <c r="D67">
        <v>310</v>
      </c>
      <c r="E67">
        <v>0.89</v>
      </c>
      <c r="F67" t="str">
        <v>Head Lamp RH 09" (TH)</v>
      </c>
      <c r="G67" t="str">
        <v>T81130-06590</v>
      </c>
      <c r="H67">
        <v>1</v>
      </c>
      <c r="I67" t="str">
        <v>Toyota</v>
      </c>
      <c r="J67" t="str">
        <v>Camry</v>
      </c>
      <c r="K67" t="str">
        <v>Unknown</v>
      </c>
      <c r="L67" t="str">
        <v>each</v>
      </c>
      <c r="M67">
        <v>1</v>
      </c>
      <c r="N67">
        <v>310</v>
      </c>
      <c r="O67" t="str">
        <v>unknown</v>
      </c>
      <c r="P67" t="str">
        <v>Jae Auto Pte Ltd</v>
      </c>
      <c r="Q67" t="str">
        <v>AR201806-15561</v>
      </c>
      <c r="R67" t="str">
        <v>29/06/2018</v>
      </c>
      <c r="S67" t="str">
        <v>excel</v>
      </c>
      <c r="T67" t="str">
        <v>Google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</row>
    <row r="68">
      <c r="A68" t="str">
        <v>C10</v>
      </c>
      <c r="B68" t="str">
        <v>Head Lamp RH 09" (TH)</v>
      </c>
      <c r="C68">
        <v>350</v>
      </c>
      <c r="D68">
        <v>330</v>
      </c>
      <c r="E68">
        <v>0.94</v>
      </c>
      <c r="F68" t="str">
        <v>HEAD LAMP RH</v>
      </c>
      <c r="G68" t="str">
        <v>81130-0L011 KDH200</v>
      </c>
      <c r="H68">
        <v>1</v>
      </c>
      <c r="I68" t="str">
        <v>Toyota</v>
      </c>
      <c r="J68" t="str">
        <v>Hiace KDH200</v>
      </c>
      <c r="K68" t="str">
        <v>Unknown</v>
      </c>
      <c r="L68" t="str">
        <v>each</v>
      </c>
      <c r="M68">
        <v>1</v>
      </c>
      <c r="N68">
        <v>330</v>
      </c>
      <c r="O68" t="str">
        <v>excl</v>
      </c>
      <c r="P68" t="str">
        <v>JAE AUTO PTE LTD</v>
      </c>
      <c r="Q68" t="str">
        <v>AR202511-06073</v>
      </c>
      <c r="R68" t="str">
        <v>14/11/2025</v>
      </c>
      <c r="S68" t="str">
        <v>excel</v>
      </c>
      <c r="T68" t="str">
        <v>Google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</row>
    <row r="69">
      <c r="A69" t="str">
        <v>C10</v>
      </c>
      <c r="B69" t="str">
        <v>Head Lamp RH 09" (TH)</v>
      </c>
      <c r="C69">
        <v>350</v>
      </c>
      <c r="D69">
        <v>330</v>
      </c>
      <c r="E69">
        <v>0.94</v>
      </c>
      <c r="F69" t="str">
        <v>HEAD LAMP LH</v>
      </c>
      <c r="G69" t="str">
        <v>81170-0L011 KDH200</v>
      </c>
      <c r="H69">
        <v>1</v>
      </c>
      <c r="I69" t="str">
        <v>Toyota</v>
      </c>
      <c r="J69" t="str">
        <v>Hiace KDH200</v>
      </c>
      <c r="K69" t="str">
        <v>Unknown</v>
      </c>
      <c r="L69" t="str">
        <v>each</v>
      </c>
      <c r="M69">
        <v>1</v>
      </c>
      <c r="N69">
        <v>330</v>
      </c>
      <c r="O69" t="str">
        <v>excl</v>
      </c>
      <c r="P69" t="str">
        <v>JAE AUTO PTE LTD</v>
      </c>
      <c r="Q69" t="str">
        <v>AR202511-06073</v>
      </c>
      <c r="R69" t="str">
        <v>14/11/2025</v>
      </c>
      <c r="S69" t="str">
        <v>excel</v>
      </c>
      <c r="T69" t="str">
        <v>Google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</row>
    <row r="70">
      <c r="A70" t="str">
        <v>C10</v>
      </c>
      <c r="B70" t="str">
        <v>Head Lamp RH 09" (TH)</v>
      </c>
      <c r="C70">
        <v>350</v>
      </c>
      <c r="D70">
        <v>350</v>
      </c>
      <c r="E70">
        <v>1</v>
      </c>
      <c r="F70" t="str">
        <v>HEAD LAMP RH</v>
      </c>
      <c r="G70" t="str">
        <v>81130-0DF01/P90</v>
      </c>
      <c r="H70">
        <v>1</v>
      </c>
      <c r="I70" t="str">
        <v>Toyota</v>
      </c>
      <c r="J70" t="str">
        <v>Vios</v>
      </c>
      <c r="K70" t="str">
        <v>Unknown</v>
      </c>
      <c r="L70" t="str">
        <v>each</v>
      </c>
      <c r="M70">
        <v>1</v>
      </c>
      <c r="N70">
        <v>350</v>
      </c>
      <c r="O70" t="str">
        <v>excl</v>
      </c>
      <c r="P70" t="str">
        <v>JAE AUTO PTE LTD</v>
      </c>
      <c r="Q70" t="str">
        <v>AR202509-09467</v>
      </c>
      <c r="R70" t="str">
        <v>22/09/2025</v>
      </c>
      <c r="S70" t="str">
        <v>excel</v>
      </c>
      <c r="T70" t="str">
        <v>Google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</row>
    <row r="71">
      <c r="A71" t="str">
        <v>C10</v>
      </c>
      <c r="B71" t="str">
        <v>Head Lamp RH 09" (TH)</v>
      </c>
      <c r="C71">
        <v>350</v>
      </c>
      <c r="D71">
        <v>350</v>
      </c>
      <c r="E71">
        <v>1</v>
      </c>
      <c r="F71" t="str">
        <v>HEAD LAMP LH</v>
      </c>
      <c r="G71" t="str">
        <v>81170-0DF01/P90</v>
      </c>
      <c r="H71">
        <v>1</v>
      </c>
      <c r="I71" t="str">
        <v>Toyota</v>
      </c>
      <c r="J71" t="str">
        <v>Vios</v>
      </c>
      <c r="K71" t="str">
        <v>Unknown</v>
      </c>
      <c r="L71" t="str">
        <v>each</v>
      </c>
      <c r="M71">
        <v>1</v>
      </c>
      <c r="N71">
        <v>350</v>
      </c>
      <c r="O71" t="str">
        <v>excl</v>
      </c>
      <c r="P71" t="str">
        <v>JAE AUTO PTE LTD</v>
      </c>
      <c r="Q71" t="str">
        <v>AR202509-09467</v>
      </c>
      <c r="R71" t="str">
        <v>22/09/2025</v>
      </c>
      <c r="S71" t="str">
        <v>excel</v>
      </c>
      <c r="T71" t="str">
        <v>Google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</row>
    <row r="72">
      <c r="A72" t="str">
        <v>C10</v>
      </c>
      <c r="B72" t="str">
        <v>Head Lamp RH 09" (TH)</v>
      </c>
      <c r="C72">
        <v>350</v>
      </c>
      <c r="D72">
        <v>380</v>
      </c>
      <c r="E72">
        <v>1.09</v>
      </c>
      <c r="F72" t="str">
        <v>HEAD LAMP RH</v>
      </c>
      <c r="G72" t="str">
        <v>81130-0L011</v>
      </c>
      <c r="H72">
        <v>1</v>
      </c>
      <c r="I72" t="str">
        <v>Toyota</v>
      </c>
      <c r="J72" t="str">
        <v>Hiace KDH200/KDH201</v>
      </c>
      <c r="K72" t="str">
        <v>Unknown</v>
      </c>
      <c r="L72" t="str">
        <v>each</v>
      </c>
      <c r="M72">
        <v>1</v>
      </c>
      <c r="N72">
        <v>380</v>
      </c>
      <c r="O72" t="str">
        <v>excl</v>
      </c>
      <c r="P72" t="str">
        <v>JAE AUTO PTE LTD</v>
      </c>
      <c r="Q72" t="str">
        <v>AR202507-13388</v>
      </c>
      <c r="R72" t="str">
        <v>01/07/2025</v>
      </c>
      <c r="S72" t="str">
        <v>excel</v>
      </c>
      <c r="T72" t="str">
        <v>Google</v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</row>
    <row r="73">
      <c r="A73" t="str">
        <v>C10</v>
      </c>
      <c r="B73" t="str">
        <v>Head Lamp RH 09" (TH)</v>
      </c>
      <c r="C73">
        <v>350</v>
      </c>
      <c r="D73">
        <v>380</v>
      </c>
      <c r="E73">
        <v>1.09</v>
      </c>
      <c r="F73" t="str">
        <v>HEAD LAMP LH</v>
      </c>
      <c r="G73" t="str">
        <v>81170-0L011</v>
      </c>
      <c r="H73">
        <v>1</v>
      </c>
      <c r="I73" t="str">
        <v>Toyota</v>
      </c>
      <c r="J73" t="str">
        <v>Hiace KDH200/KDH201</v>
      </c>
      <c r="K73" t="str">
        <v>Unknown</v>
      </c>
      <c r="L73" t="str">
        <v>each</v>
      </c>
      <c r="M73">
        <v>1</v>
      </c>
      <c r="N73">
        <v>380</v>
      </c>
      <c r="O73" t="str">
        <v>excl</v>
      </c>
      <c r="P73" t="str">
        <v>JAE AUTO PTE LTD</v>
      </c>
      <c r="Q73" t="str">
        <v>AR202507-13388</v>
      </c>
      <c r="R73" t="str">
        <v>01/07/2025</v>
      </c>
      <c r="S73" t="str">
        <v>excel</v>
      </c>
      <c r="T73" t="str">
        <v>Google</v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</row>
    <row r="74">
      <c r="A74" t="str">
        <v>C10</v>
      </c>
      <c r="B74" t="str">
        <v>Head Lamp RH 09" (TH)</v>
      </c>
      <c r="C74">
        <v>350</v>
      </c>
      <c r="D74">
        <v>1100</v>
      </c>
      <c r="E74">
        <v>3.14</v>
      </c>
      <c r="F74" t="str">
        <v>HEAD LAMP LH</v>
      </c>
      <c r="G74" t="str">
        <v>T81070-48890</v>
      </c>
      <c r="H74">
        <v>1</v>
      </c>
      <c r="I74" t="str">
        <v>Toyota</v>
      </c>
      <c r="J74" t="str">
        <v>—</v>
      </c>
      <c r="K74" t="str">
        <v>Unknown</v>
      </c>
      <c r="L74" t="str">
        <v>each</v>
      </c>
      <c r="M74">
        <v>1</v>
      </c>
      <c r="N74">
        <v>1100</v>
      </c>
      <c r="O74" t="str">
        <v>excl</v>
      </c>
      <c r="P74" t="str">
        <v>JAE AUTO PTE LTD</v>
      </c>
      <c r="Q74" t="str">
        <v>AR202601-05752</v>
      </c>
      <c r="R74" t="str">
        <v>14/01/2026</v>
      </c>
      <c r="S74" t="str">
        <v>excel</v>
      </c>
      <c r="T74" t="str">
        <v>Google</v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</row>
    <row r="75">
      <c r="A75" t="str">
        <v>C10</v>
      </c>
      <c r="B75" t="str">
        <v>Head Lamp RH 09" (TH)</v>
      </c>
      <c r="C75">
        <v>350</v>
      </c>
      <c r="D75">
        <v>1100</v>
      </c>
      <c r="E75">
        <v>3.14</v>
      </c>
      <c r="F75" t="str">
        <v>HEAD LAMP RH</v>
      </c>
      <c r="G75" t="str">
        <v>T81140-48440</v>
      </c>
      <c r="H75">
        <v>1</v>
      </c>
      <c r="I75" t="str">
        <v>Toyota</v>
      </c>
      <c r="J75" t="str">
        <v>—</v>
      </c>
      <c r="K75" t="str">
        <v>Unknown</v>
      </c>
      <c r="L75" t="str">
        <v>each</v>
      </c>
      <c r="M75">
        <v>1</v>
      </c>
      <c r="N75">
        <v>1100</v>
      </c>
      <c r="O75" t="str">
        <v>excl</v>
      </c>
      <c r="P75" t="str">
        <v>JAE AUTO PTE LTD</v>
      </c>
      <c r="Q75" t="str">
        <v>AR202601-05752</v>
      </c>
      <c r="R75" t="str">
        <v>14/01/2026</v>
      </c>
      <c r="S75" t="str">
        <v>excel</v>
      </c>
      <c r="T75" t="str">
        <v>Google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</row>
    <row r="76">
      <c r="A76" t="str">
        <v>C11</v>
      </c>
      <c r="B76" t="str">
        <v>F/B LOWER GRILLE</v>
      </c>
      <c r="C76">
        <v>75</v>
      </c>
      <c r="D76">
        <v>65</v>
      </c>
      <c r="E76">
        <v>0.87</v>
      </c>
      <c r="F76" t="str">
        <v>F/B LOWER GRILLE</v>
      </c>
      <c r="G76" t="str">
        <v>ZZT53112-02630</v>
      </c>
      <c r="H76">
        <v>1</v>
      </c>
      <c r="I76" t="str">
        <v>Toyota</v>
      </c>
      <c r="J76" t="str">
        <v>ZRE171</v>
      </c>
      <c r="K76" t="str">
        <v>Unknown</v>
      </c>
      <c r="L76" t="str">
        <v>each</v>
      </c>
      <c r="M76">
        <v>1</v>
      </c>
      <c r="N76">
        <v>65</v>
      </c>
      <c r="O76" t="str">
        <v>excl</v>
      </c>
      <c r="P76" t="str">
        <v>FORTUNA AUTOMOTIVE PTE LTD</v>
      </c>
      <c r="Q76" t="str">
        <v>CL2508534</v>
      </c>
      <c r="R76" t="str">
        <v>27/08/2025</v>
      </c>
      <c r="S76" t="str">
        <v>excel</v>
      </c>
      <c r="T76" t="str">
        <v>Google</v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</row>
    <row r="77">
      <c r="A77" t="str">
        <v>C11</v>
      </c>
      <c r="B77" t="str">
        <v>F/B LOWER GRILLE</v>
      </c>
      <c r="C77">
        <v>75</v>
      </c>
      <c r="D77">
        <v>75</v>
      </c>
      <c r="E77">
        <v>1</v>
      </c>
      <c r="F77" t="str">
        <v>F/B LOWER GRILLE</v>
      </c>
      <c r="G77" t="str">
        <v>ZZT53112-26070</v>
      </c>
      <c r="H77">
        <v>2</v>
      </c>
      <c r="I77" t="str">
        <v>Toyota</v>
      </c>
      <c r="J77" t="str">
        <v>KDH201</v>
      </c>
      <c r="K77" t="str">
        <v>Unknown</v>
      </c>
      <c r="L77" t="str">
        <v>each</v>
      </c>
      <c r="M77">
        <v>1</v>
      </c>
      <c r="N77">
        <v>75</v>
      </c>
      <c r="O77" t="str">
        <v>excl</v>
      </c>
      <c r="P77" t="str">
        <v>FORTUNA AUTOMOTIVE PTE LTD</v>
      </c>
      <c r="Q77" t="str">
        <v>CL2508266</v>
      </c>
      <c r="R77" t="str">
        <v>14/08/2025</v>
      </c>
      <c r="S77" t="str">
        <v>excel</v>
      </c>
      <c r="T77" t="str">
        <v>Google</v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</row>
    <row r="78">
      <c r="A78" t="str">
        <v>C11</v>
      </c>
      <c r="B78" t="str">
        <v>F/B LOWER GRILLE</v>
      </c>
      <c r="C78">
        <v>75</v>
      </c>
      <c r="D78">
        <v>75</v>
      </c>
      <c r="E78">
        <v>1</v>
      </c>
      <c r="F78" t="str">
        <v>F/B LOWER CENTRE GRILLE</v>
      </c>
      <c r="G78" t="str">
        <v>ZZT53112-26070</v>
      </c>
      <c r="H78">
        <v>2</v>
      </c>
      <c r="I78" t="str">
        <v>Toyota</v>
      </c>
      <c r="J78" t="str">
        <v>KDH201</v>
      </c>
      <c r="K78" t="str">
        <v>Unknown</v>
      </c>
      <c r="L78" t="str">
        <v>each</v>
      </c>
      <c r="M78">
        <v>1</v>
      </c>
      <c r="N78">
        <v>75</v>
      </c>
      <c r="O78" t="str">
        <v>excl</v>
      </c>
      <c r="P78" t="str">
        <v>FORTUNA AUTOMOTIVE PTE LTD</v>
      </c>
      <c r="Q78" t="str">
        <v>CL2508246</v>
      </c>
      <c r="R78" t="str">
        <v>13/08/2025</v>
      </c>
      <c r="S78" t="str">
        <v>excel</v>
      </c>
      <c r="T78" t="str">
        <v>Google</v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</row>
    <row r="79">
      <c r="A79" t="str">
        <v>C11</v>
      </c>
      <c r="B79" t="str">
        <v>F/B LOWER GRILLE</v>
      </c>
      <c r="C79">
        <v>75</v>
      </c>
      <c r="D79">
        <v>220</v>
      </c>
      <c r="E79">
        <v>2.93</v>
      </c>
      <c r="F79" t="str">
        <v>F/B LOWER GRILLE</v>
      </c>
      <c r="G79" t="str">
        <v>ZZT53102-06120</v>
      </c>
      <c r="H79">
        <v>1</v>
      </c>
      <c r="I79" t="str">
        <v>Toyota</v>
      </c>
      <c r="J79" t="str">
        <v>ASV51</v>
      </c>
      <c r="K79" t="str">
        <v>Unknown</v>
      </c>
      <c r="L79" t="str">
        <v>each</v>
      </c>
      <c r="M79">
        <v>1</v>
      </c>
      <c r="N79">
        <v>220</v>
      </c>
      <c r="O79" t="str">
        <v>excl</v>
      </c>
      <c r="P79" t="str">
        <v>FORTUNA AUTOMOTIVE PTE LTD</v>
      </c>
      <c r="Q79" t="str">
        <v>CL2510229</v>
      </c>
      <c r="R79" t="str">
        <v>15/10/2025</v>
      </c>
      <c r="S79" t="str">
        <v>excel</v>
      </c>
      <c r="T79" t="str">
        <v>Google</v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</row>
    <row r="80">
      <c r="A80" t="str">
        <v>C12</v>
      </c>
      <c r="B80" t="str">
        <v>BRACKET- FASCIA FRT CTR TO FDR LH</v>
      </c>
      <c r="C80">
        <v>11.28</v>
      </c>
      <c r="D80">
        <v>7.1</v>
      </c>
      <c r="E80">
        <v>0.63</v>
      </c>
      <c r="F80" t="str">
        <v>BRACKET - FASCIA SIDE TO FDR LH</v>
      </c>
      <c r="G80" t="str">
        <v>1774268-00-G</v>
      </c>
      <c r="H80">
        <v>3</v>
      </c>
      <c r="I80" t="str">
        <v>Tesla</v>
      </c>
      <c r="J80" t="str">
        <v>—</v>
      </c>
      <c r="K80" t="str">
        <v>Unknown</v>
      </c>
      <c r="L80" t="str">
        <v>each</v>
      </c>
      <c r="M80">
        <v>1</v>
      </c>
      <c r="N80">
        <v>7.1</v>
      </c>
      <c r="O80" t="str">
        <v>excl</v>
      </c>
      <c r="P80" t="str">
        <v>Tesla Motors Singapore Private Limited</v>
      </c>
      <c r="Q80" t="str">
        <v>2040R0000004181</v>
      </c>
      <c r="R80" t="str">
        <v>2025/07/31</v>
      </c>
      <c r="S80" t="str">
        <v>excel</v>
      </c>
      <c r="T80" t="str">
        <v>Google</v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</row>
    <row r="81">
      <c r="A81" t="str">
        <v>C12</v>
      </c>
      <c r="B81" t="str">
        <v>BRACKET- FASCIA FRT CTR TO FDR LH</v>
      </c>
      <c r="C81">
        <v>11.28</v>
      </c>
      <c r="D81">
        <v>7.1</v>
      </c>
      <c r="E81">
        <v>0.63</v>
      </c>
      <c r="F81" t="str">
        <v>BRACKET - FASCIA SIDE TO FDR LH</v>
      </c>
      <c r="G81" t="str">
        <v>1774268-00-G</v>
      </c>
      <c r="H81">
        <v>3</v>
      </c>
      <c r="I81" t="str">
        <v>Tesla</v>
      </c>
      <c r="J81" t="str">
        <v>—</v>
      </c>
      <c r="K81" t="str">
        <v>Unknown</v>
      </c>
      <c r="L81" t="str">
        <v>each</v>
      </c>
      <c r="M81">
        <v>1</v>
      </c>
      <c r="N81">
        <v>7.1</v>
      </c>
      <c r="O81" t="str">
        <v>unknown</v>
      </c>
      <c r="P81" t="str">
        <v>Tesla</v>
      </c>
      <c r="Q81" t="str">
        <v>EPC-5140005-1</v>
      </c>
      <c r="R81" t="str">
        <v/>
      </c>
      <c r="S81" t="str">
        <v>excel</v>
      </c>
      <c r="T81" t="str">
        <v>Google</v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</row>
    <row r="82">
      <c r="A82" t="str">
        <v>C12</v>
      </c>
      <c r="B82" t="str">
        <v>BRACKET- FASCIA FRT CTR TO FDR LH</v>
      </c>
      <c r="C82">
        <v>11.28</v>
      </c>
      <c r="D82">
        <v>7.1</v>
      </c>
      <c r="E82">
        <v>0.63</v>
      </c>
      <c r="F82" t="str">
        <v>BRACKET - FASCIA SIDE TO FDR LH</v>
      </c>
      <c r="G82" t="str">
        <v>1774268-00-G</v>
      </c>
      <c r="H82">
        <v>3</v>
      </c>
      <c r="I82" t="str">
        <v>Tesla</v>
      </c>
      <c r="J82" t="str">
        <v>—</v>
      </c>
      <c r="K82" t="str">
        <v>Unknown</v>
      </c>
      <c r="L82" t="str">
        <v>each</v>
      </c>
      <c r="M82">
        <v>1</v>
      </c>
      <c r="N82">
        <v>7.1</v>
      </c>
      <c r="O82" t="str">
        <v>unknown</v>
      </c>
      <c r="P82" t="str">
        <v>Tesla</v>
      </c>
      <c r="Q82" t="str">
        <v/>
      </c>
      <c r="R82" t="str">
        <v>28/11/2025</v>
      </c>
      <c r="S82" t="str">
        <v>excel</v>
      </c>
      <c r="T82" t="str">
        <v>Google</v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</row>
    <row r="83">
      <c r="A83" t="str">
        <v>C12</v>
      </c>
      <c r="B83" t="str">
        <v>BRACKET- FASCIA FRT CTR TO FDR LH</v>
      </c>
      <c r="C83">
        <v>11.28</v>
      </c>
      <c r="D83">
        <v>11.28</v>
      </c>
      <c r="E83">
        <v>1</v>
      </c>
      <c r="F83" t="str">
        <v>BRACKET- FASCIA FRT CTR TO FDR LH</v>
      </c>
      <c r="G83" t="str">
        <v>1734299-00-H</v>
      </c>
      <c r="H83">
        <v>4</v>
      </c>
      <c r="I83" t="str">
        <v>Tesla</v>
      </c>
      <c r="J83" t="str">
        <v>Model 3</v>
      </c>
      <c r="K83" t="str">
        <v>Unknown</v>
      </c>
      <c r="L83" t="str">
        <v>each</v>
      </c>
      <c r="M83">
        <v>1</v>
      </c>
      <c r="N83">
        <v>11.28</v>
      </c>
      <c r="O83" t="str">
        <v>excl</v>
      </c>
      <c r="P83" t="str">
        <v>Tesla Motors Singapore Private Limited</v>
      </c>
      <c r="Q83" t="str">
        <v>2040R0000004325</v>
      </c>
      <c r="R83" t="str">
        <v>19/08/2025</v>
      </c>
      <c r="S83" t="str">
        <v>excel</v>
      </c>
      <c r="T83" t="str">
        <v>Google</v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</row>
    <row r="84">
      <c r="A84" t="str">
        <v>C12</v>
      </c>
      <c r="B84" t="str">
        <v>BRACKET- FASCIA FRT CTR TO FDR LH</v>
      </c>
      <c r="C84">
        <v>11.28</v>
      </c>
      <c r="D84">
        <v>11.28</v>
      </c>
      <c r="E84">
        <v>1</v>
      </c>
      <c r="F84" t="str">
        <v>BRACKET- FASCIA FRT CTR TO FDR RH</v>
      </c>
      <c r="G84" t="str">
        <v>1734300-00-H</v>
      </c>
      <c r="H84">
        <v>1</v>
      </c>
      <c r="I84" t="str">
        <v>Tesla</v>
      </c>
      <c r="J84" t="str">
        <v>—</v>
      </c>
      <c r="K84" t="str">
        <v>OEM Genuine</v>
      </c>
      <c r="L84" t="str">
        <v>each</v>
      </c>
      <c r="M84">
        <v>1</v>
      </c>
      <c r="N84">
        <v>11.28</v>
      </c>
      <c r="O84" t="str">
        <v>excl</v>
      </c>
      <c r="P84" t="str">
        <v>Tesla Motors Singapore Private Limited</v>
      </c>
      <c r="Q84" t="str">
        <v>2040R0000004342</v>
      </c>
      <c r="R84" t="str">
        <v>22/08/2025</v>
      </c>
      <c r="S84" t="str">
        <v>excel</v>
      </c>
      <c r="T84" t="str">
        <v>Google</v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</row>
    <row r="85">
      <c r="A85" t="str">
        <v>C12</v>
      </c>
      <c r="B85" t="str">
        <v>BRACKET- FASCIA FRT CTR TO FDR LH</v>
      </c>
      <c r="C85">
        <v>11.28</v>
      </c>
      <c r="D85">
        <v>11.28</v>
      </c>
      <c r="E85">
        <v>1</v>
      </c>
      <c r="F85" t="str">
        <v>BRACKET- FASCIA FRT CTR TO FDR LH</v>
      </c>
      <c r="G85" t="str">
        <v>1734299-00-H</v>
      </c>
      <c r="H85">
        <v>4</v>
      </c>
      <c r="I85" t="str">
        <v>Tesla</v>
      </c>
      <c r="J85" t="str">
        <v>—</v>
      </c>
      <c r="K85" t="str">
        <v>Unknown</v>
      </c>
      <c r="L85" t="str">
        <v>each</v>
      </c>
      <c r="M85">
        <v>1</v>
      </c>
      <c r="N85">
        <v>11.28</v>
      </c>
      <c r="O85" t="str">
        <v>excl</v>
      </c>
      <c r="P85" t="str">
        <v>Tesla Motors Singapore Private Limited</v>
      </c>
      <c r="Q85" t="str">
        <v>2040R0000004188</v>
      </c>
      <c r="R85" t="str">
        <v>31/07/2025</v>
      </c>
      <c r="S85" t="str">
        <v>excel</v>
      </c>
      <c r="T85" t="str">
        <v>Google</v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</row>
    <row r="86">
      <c r="A86" t="str">
        <v>C12</v>
      </c>
      <c r="B86" t="str">
        <v>BRACKET- FASCIA FRT CTR TO FDR LH</v>
      </c>
      <c r="C86">
        <v>11.28</v>
      </c>
      <c r="D86">
        <v>11.28</v>
      </c>
      <c r="E86">
        <v>1</v>
      </c>
      <c r="F86" t="str">
        <v>BRACKET-FASCIA FRT CTR TO FDR LH</v>
      </c>
      <c r="G86" t="str">
        <v>1734299-00-H</v>
      </c>
      <c r="H86">
        <v>4</v>
      </c>
      <c r="I86" t="str">
        <v>Tesla</v>
      </c>
      <c r="J86" t="str">
        <v>—</v>
      </c>
      <c r="K86" t="str">
        <v>Unknown</v>
      </c>
      <c r="L86" t="str">
        <v>each</v>
      </c>
      <c r="M86">
        <v>1</v>
      </c>
      <c r="N86">
        <v>11.28</v>
      </c>
      <c r="O86" t="str">
        <v>unknown</v>
      </c>
      <c r="P86" t="str">
        <v>Tesla</v>
      </c>
      <c r="Q86" t="str">
        <v>EPC-5140005-1</v>
      </c>
      <c r="R86" t="str">
        <v/>
      </c>
      <c r="S86" t="str">
        <v>excel</v>
      </c>
      <c r="T86" t="str">
        <v>Google</v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</row>
    <row r="87">
      <c r="A87" t="str">
        <v>C12</v>
      </c>
      <c r="B87" t="str">
        <v>BRACKET- FASCIA FRT CTR TO FDR LH</v>
      </c>
      <c r="C87">
        <v>11.28</v>
      </c>
      <c r="D87">
        <v>11.28</v>
      </c>
      <c r="E87">
        <v>1</v>
      </c>
      <c r="F87" t="str">
        <v>BRACKET- FASCIA FRT CTR TO FDR LH</v>
      </c>
      <c r="G87" t="str">
        <v>1734299-00-H</v>
      </c>
      <c r="H87">
        <v>4</v>
      </c>
      <c r="I87" t="str">
        <v>Tesla</v>
      </c>
      <c r="J87" t="str">
        <v>—</v>
      </c>
      <c r="K87" t="str">
        <v>Unknown</v>
      </c>
      <c r="L87" t="str">
        <v>each</v>
      </c>
      <c r="M87">
        <v>1</v>
      </c>
      <c r="N87">
        <v>11.28</v>
      </c>
      <c r="O87" t="str">
        <v>unknown</v>
      </c>
      <c r="P87" t="str">
        <v>Tesla</v>
      </c>
      <c r="Q87" t="str">
        <v/>
      </c>
      <c r="R87" t="str">
        <v>28/11/2025</v>
      </c>
      <c r="S87" t="str">
        <v>excel</v>
      </c>
      <c r="T87" t="str">
        <v>Google</v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</row>
    <row r="88">
      <c r="A88" t="str">
        <v>C13</v>
      </c>
      <c r="B88" t="str">
        <v>FRT BONNET</v>
      </c>
      <c r="C88">
        <v>345</v>
      </c>
      <c r="D88">
        <v>260</v>
      </c>
      <c r="E88">
        <v>0.75</v>
      </c>
      <c r="F88" t="str">
        <v>BONNET</v>
      </c>
      <c r="G88" t="str">
        <v>ZZT53301-26080</v>
      </c>
      <c r="H88">
        <v>1</v>
      </c>
      <c r="I88" t="str">
        <v>Toyota</v>
      </c>
      <c r="J88" t="str">
        <v>KDH201</v>
      </c>
      <c r="K88" t="str">
        <v>Unknown</v>
      </c>
      <c r="L88" t="str">
        <v>each</v>
      </c>
      <c r="M88">
        <v>1</v>
      </c>
      <c r="N88">
        <v>260</v>
      </c>
      <c r="O88" t="str">
        <v>excl</v>
      </c>
      <c r="P88" t="str">
        <v>FORTUNA AUTOMOTIVE PTE LTD</v>
      </c>
      <c r="Q88" t="str">
        <v>CL2508246</v>
      </c>
      <c r="R88" t="str">
        <v>13/08/2025</v>
      </c>
      <c r="S88" t="str">
        <v>excel</v>
      </c>
      <c r="T88" t="str">
        <v>Google</v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</row>
    <row r="89">
      <c r="A89" t="str">
        <v>C13</v>
      </c>
      <c r="B89" t="str">
        <v>FRT BONNET</v>
      </c>
      <c r="C89">
        <v>345</v>
      </c>
      <c r="D89">
        <v>280</v>
      </c>
      <c r="E89">
        <v>0.81</v>
      </c>
      <c r="F89" t="str">
        <v>FRT BONNET</v>
      </c>
      <c r="G89" t="str">
        <v>53301-26080 KDH200/1</v>
      </c>
      <c r="H89">
        <v>1</v>
      </c>
      <c r="I89" t="str">
        <v>Toyota</v>
      </c>
      <c r="J89" t="str">
        <v>Hiace KDH200</v>
      </c>
      <c r="K89" t="str">
        <v>Unknown</v>
      </c>
      <c r="L89" t="str">
        <v>each</v>
      </c>
      <c r="M89">
        <v>1</v>
      </c>
      <c r="N89">
        <v>280</v>
      </c>
      <c r="O89" t="str">
        <v>excl</v>
      </c>
      <c r="P89" t="str">
        <v>JAE AUTO PTE LTD</v>
      </c>
      <c r="Q89" t="str">
        <v>AR202511-06073</v>
      </c>
      <c r="R89" t="str">
        <v>14/11/2025</v>
      </c>
      <c r="S89" t="str">
        <v>excel</v>
      </c>
      <c r="T89" t="str">
        <v>Google</v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</row>
    <row r="90">
      <c r="A90" t="str">
        <v>C13</v>
      </c>
      <c r="B90" t="str">
        <v>FRT BONNET</v>
      </c>
      <c r="C90">
        <v>345</v>
      </c>
      <c r="D90">
        <v>290</v>
      </c>
      <c r="E90">
        <v>0.84</v>
      </c>
      <c r="F90" t="str">
        <v>FRT BONNET</v>
      </c>
      <c r="G90" t="str">
        <v>53301-26080</v>
      </c>
      <c r="H90">
        <v>2</v>
      </c>
      <c r="I90" t="str">
        <v>Toyota</v>
      </c>
      <c r="J90" t="str">
        <v>Hiace KDH201</v>
      </c>
      <c r="K90" t="str">
        <v>Unknown</v>
      </c>
      <c r="L90" t="str">
        <v>each</v>
      </c>
      <c r="M90">
        <v>1</v>
      </c>
      <c r="N90">
        <v>290</v>
      </c>
      <c r="O90" t="str">
        <v>excl</v>
      </c>
      <c r="P90" t="str">
        <v>JAE AUTO PTE LTD</v>
      </c>
      <c r="Q90" t="str">
        <v>AR202509-09533</v>
      </c>
      <c r="R90" t="str">
        <v>22/09/2025</v>
      </c>
      <c r="S90" t="str">
        <v>excel</v>
      </c>
      <c r="T90" t="str">
        <v>Google</v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</row>
    <row r="91">
      <c r="A91" t="str">
        <v>C13</v>
      </c>
      <c r="B91" t="str">
        <v>FRT BONNET</v>
      </c>
      <c r="C91">
        <v>345</v>
      </c>
      <c r="D91">
        <v>340</v>
      </c>
      <c r="E91">
        <v>0.99</v>
      </c>
      <c r="F91" t="str">
        <v>FRT BONNET</v>
      </c>
      <c r="G91" t="str">
        <v>53301-26080</v>
      </c>
      <c r="H91">
        <v>2</v>
      </c>
      <c r="I91" t="str">
        <v>Toyota</v>
      </c>
      <c r="J91" t="str">
        <v>Hiace KDH200/KDH201</v>
      </c>
      <c r="K91" t="str">
        <v>Unknown</v>
      </c>
      <c r="L91" t="str">
        <v>each</v>
      </c>
      <c r="M91">
        <v>1</v>
      </c>
      <c r="N91">
        <v>340</v>
      </c>
      <c r="O91" t="str">
        <v>excl</v>
      </c>
      <c r="P91" t="str">
        <v>JAE AUTO PTE LTD</v>
      </c>
      <c r="Q91" t="str">
        <v>AR202507-13388</v>
      </c>
      <c r="R91" t="str">
        <v>01/07/2025</v>
      </c>
      <c r="S91" t="str">
        <v>excel</v>
      </c>
      <c r="T91" t="str">
        <v>Google</v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</row>
    <row r="92">
      <c r="A92" t="str">
        <v>C13</v>
      </c>
      <c r="B92" t="str">
        <v>FRT BONNET</v>
      </c>
      <c r="C92">
        <v>345</v>
      </c>
      <c r="D92">
        <v>350</v>
      </c>
      <c r="E92">
        <v>1.01</v>
      </c>
      <c r="F92" t="str">
        <v>BONNET</v>
      </c>
      <c r="G92" t="str">
        <v>T53301-28160</v>
      </c>
      <c r="H92">
        <v>1</v>
      </c>
      <c r="I92" t="str">
        <v>Toyota</v>
      </c>
      <c r="J92" t="str">
        <v>—</v>
      </c>
      <c r="K92" t="str">
        <v>Unknown</v>
      </c>
      <c r="L92" t="str">
        <v>each</v>
      </c>
      <c r="M92">
        <v>1</v>
      </c>
      <c r="N92">
        <v>350</v>
      </c>
      <c r="O92" t="str">
        <v>excl</v>
      </c>
      <c r="P92" t="str">
        <v>HE XING AUTO PARTS PTE LTD</v>
      </c>
      <c r="Q92" t="str">
        <v>DLI9285374</v>
      </c>
      <c r="R92" t="str">
        <v>10/11/2025</v>
      </c>
      <c r="S92" t="str">
        <v>excel</v>
      </c>
      <c r="T92" t="str">
        <v>Google</v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</row>
    <row r="93">
      <c r="A93" t="str">
        <v>C13</v>
      </c>
      <c r="B93" t="str">
        <v>FRT BONNET</v>
      </c>
      <c r="C93">
        <v>345</v>
      </c>
      <c r="D93">
        <v>360</v>
      </c>
      <c r="E93">
        <v>1.04</v>
      </c>
      <c r="F93" t="str">
        <v>BONNET</v>
      </c>
      <c r="G93" t="str">
        <v>T53301-06200</v>
      </c>
      <c r="H93">
        <v>1</v>
      </c>
      <c r="I93" t="str">
        <v>Toyota</v>
      </c>
      <c r="J93" t="str">
        <v>Camry</v>
      </c>
      <c r="K93" t="str">
        <v>Unknown</v>
      </c>
      <c r="L93" t="str">
        <v>each</v>
      </c>
      <c r="M93">
        <v>1</v>
      </c>
      <c r="N93">
        <v>360</v>
      </c>
      <c r="O93" t="str">
        <v>excl</v>
      </c>
      <c r="P93" t="str">
        <v>HE XING AUTO PARTS PTE LTD</v>
      </c>
      <c r="Q93" t="str">
        <v>DLI9286779</v>
      </c>
      <c r="R93" t="str">
        <v>24/01/2026</v>
      </c>
      <c r="S93" t="str">
        <v>excel</v>
      </c>
      <c r="T93" t="str">
        <v>Google</v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</row>
    <row r="94">
      <c r="A94" t="str">
        <v>C13</v>
      </c>
      <c r="B94" t="str">
        <v>FRT BONNET</v>
      </c>
      <c r="C94">
        <v>345</v>
      </c>
      <c r="D94">
        <v>380</v>
      </c>
      <c r="E94">
        <v>1.1</v>
      </c>
      <c r="F94" t="str">
        <v>BONNET</v>
      </c>
      <c r="G94" t="str">
        <v>T53301-12B30</v>
      </c>
      <c r="H94">
        <v>1</v>
      </c>
      <c r="I94" t="str">
        <v>Toyota</v>
      </c>
      <c r="J94" t="str">
        <v>—</v>
      </c>
      <c r="K94" t="str">
        <v>Unknown</v>
      </c>
      <c r="L94" t="str">
        <v>each</v>
      </c>
      <c r="M94">
        <v>1</v>
      </c>
      <c r="N94">
        <v>380</v>
      </c>
      <c r="O94" t="str">
        <v>excl</v>
      </c>
      <c r="P94" t="str">
        <v>HE XING AUTO PARTS PTE LTD</v>
      </c>
      <c r="Q94" t="str">
        <v>DLI9286145</v>
      </c>
      <c r="R94" t="str">
        <v>19/12/2025</v>
      </c>
      <c r="S94" t="str">
        <v>excel</v>
      </c>
      <c r="T94" t="str">
        <v>Google</v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</row>
    <row r="95">
      <c r="A95" t="str">
        <v>C13</v>
      </c>
      <c r="B95" t="str">
        <v>FRT BONNET</v>
      </c>
      <c r="C95">
        <v>345</v>
      </c>
      <c r="D95">
        <v>400</v>
      </c>
      <c r="E95">
        <v>1.16</v>
      </c>
      <c r="F95" t="str">
        <v>FRT BONNET</v>
      </c>
      <c r="G95" t="str">
        <v>53301-0D280</v>
      </c>
      <c r="H95">
        <v>1</v>
      </c>
      <c r="I95" t="str">
        <v>Toyota</v>
      </c>
      <c r="J95" t="str">
        <v>—</v>
      </c>
      <c r="K95" t="str">
        <v>Unknown</v>
      </c>
      <c r="L95" t="str">
        <v>each</v>
      </c>
      <c r="M95">
        <v>1</v>
      </c>
      <c r="N95">
        <v>400</v>
      </c>
      <c r="O95" t="str">
        <v>excl</v>
      </c>
      <c r="P95" t="str">
        <v>JAE AUTO PTE LTD</v>
      </c>
      <c r="Q95" t="str">
        <v>AR202509-09473</v>
      </c>
      <c r="R95" t="str">
        <v>22/09/2025</v>
      </c>
      <c r="S95" t="str">
        <v>excel</v>
      </c>
      <c r="T95" t="str">
        <v>Google</v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</row>
    <row r="96">
      <c r="A96" t="str">
        <v>C14</v>
      </c>
      <c r="B96" t="str">
        <v>MERCEDES STAR(GRILLE)</v>
      </c>
      <c r="C96">
        <v>105</v>
      </c>
      <c r="D96">
        <v>84</v>
      </c>
      <c r="E96">
        <v>0.8</v>
      </c>
      <c r="F96" t="str">
        <v>MERCEDES STAR</v>
      </c>
      <c r="G96" t="str">
        <v>MBA000 817 21 16</v>
      </c>
      <c r="H96">
        <v>1</v>
      </c>
      <c r="I96" t="str">
        <v>Mercedes-Benz</v>
      </c>
      <c r="J96" t="str">
        <v>—</v>
      </c>
      <c r="K96" t="str">
        <v>Unknown</v>
      </c>
      <c r="L96" t="str">
        <v>each</v>
      </c>
      <c r="M96">
        <v>1</v>
      </c>
      <c r="N96">
        <v>84</v>
      </c>
      <c r="O96" t="str">
        <v>excl</v>
      </c>
      <c r="P96" t="str">
        <v>MIN GHEE AUTO PTE LTD</v>
      </c>
      <c r="Q96" t="str">
        <v>841346</v>
      </c>
      <c r="R96" t="str">
        <v>21/11/2025</v>
      </c>
      <c r="S96" t="str">
        <v>excel</v>
      </c>
      <c r="T96" t="str">
        <v>Google</v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</row>
    <row r="97">
      <c r="A97" t="str">
        <v>C14</v>
      </c>
      <c r="B97" t="str">
        <v>MERCEDES STAR(GRILLE)</v>
      </c>
      <c r="C97">
        <v>105</v>
      </c>
      <c r="D97">
        <v>90</v>
      </c>
      <c r="E97">
        <v>0.86</v>
      </c>
      <c r="F97" t="str">
        <v>MERCEDES STAR(GRILLE)</v>
      </c>
      <c r="G97" t="str">
        <v>MBA000 817 10 16</v>
      </c>
      <c r="H97">
        <v>1</v>
      </c>
      <c r="I97" t="str">
        <v>Mercedes-Benz</v>
      </c>
      <c r="J97" t="str">
        <v>—</v>
      </c>
      <c r="K97" t="str">
        <v>Unknown</v>
      </c>
      <c r="L97" t="str">
        <v>each</v>
      </c>
      <c r="M97">
        <v>1</v>
      </c>
      <c r="N97">
        <v>90</v>
      </c>
      <c r="O97" t="str">
        <v>excl</v>
      </c>
      <c r="P97" t="str">
        <v>MIN GHEE AUTO PTE LTD</v>
      </c>
      <c r="Q97" t="str">
        <v>8397352</v>
      </c>
      <c r="R97" t="str">
        <v>03/07/2025</v>
      </c>
      <c r="S97" t="str">
        <v>excel</v>
      </c>
      <c r="T97" t="str">
        <v>Google</v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</row>
    <row r="98">
      <c r="A98" t="str">
        <v>C14</v>
      </c>
      <c r="B98" t="str">
        <v>MERCEDES STAR(GRILLE)</v>
      </c>
      <c r="C98">
        <v>105</v>
      </c>
      <c r="D98">
        <v>120</v>
      </c>
      <c r="E98">
        <v>1.14</v>
      </c>
      <c r="F98" t="str">
        <v>MERCEDES STAR</v>
      </c>
      <c r="G98" t="str">
        <v>X0008171016</v>
      </c>
      <c r="H98">
        <v>1</v>
      </c>
      <c r="I98" t="str">
        <v>Mercedes-Benz</v>
      </c>
      <c r="J98" t="str">
        <v>—</v>
      </c>
      <c r="K98" t="str">
        <v>Unknown</v>
      </c>
      <c r="L98" t="str">
        <v>each</v>
      </c>
      <c r="M98">
        <v>1</v>
      </c>
      <c r="N98">
        <v>120</v>
      </c>
      <c r="O98" t="str">
        <v>excl</v>
      </c>
      <c r="P98" t="str">
        <v>SURPASS AUTO PARTS SUPPLIES PTE LTD</v>
      </c>
      <c r="Q98" t="str">
        <v>25100058</v>
      </c>
      <c r="R98" t="str">
        <v>06/10/2025</v>
      </c>
      <c r="S98" t="str">
        <v>excel</v>
      </c>
      <c r="T98" t="str">
        <v>Google</v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</row>
    <row r="99">
      <c r="A99" t="str">
        <v>C14</v>
      </c>
      <c r="B99" t="str">
        <v>MERCEDES STAR(GRILLE)</v>
      </c>
      <c r="C99">
        <v>105</v>
      </c>
      <c r="D99">
        <v>125</v>
      </c>
      <c r="E99">
        <v>1.19</v>
      </c>
      <c r="F99" t="str">
        <v>MERCEDES STAR GRILLE</v>
      </c>
      <c r="G99" t="str">
        <v>X2078170016</v>
      </c>
      <c r="H99">
        <v>1</v>
      </c>
      <c r="I99" t="str">
        <v>Mercedes-Benz</v>
      </c>
      <c r="J99" t="str">
        <v>—</v>
      </c>
      <c r="K99" t="str">
        <v>Unknown</v>
      </c>
      <c r="L99" t="str">
        <v>each</v>
      </c>
      <c r="M99">
        <v>1</v>
      </c>
      <c r="N99">
        <v>125</v>
      </c>
      <c r="O99" t="str">
        <v>excl</v>
      </c>
      <c r="P99" t="str">
        <v>SURPASS AUTO PARTS SUPPLIES PTE LTD</v>
      </c>
      <c r="Q99" t="str">
        <v>25080083</v>
      </c>
      <c r="R99" t="str">
        <v>01/08/2025</v>
      </c>
      <c r="S99" t="str">
        <v>excel</v>
      </c>
      <c r="T99" t="str">
        <v>Google</v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</row>
    <row r="100">
      <c r="A100" t="str">
        <v>C15</v>
      </c>
      <c r="B100" t="str">
        <v>RADIATOR</v>
      </c>
      <c r="C100">
        <v>665</v>
      </c>
      <c r="D100">
        <v>600</v>
      </c>
      <c r="E100">
        <v>0.9</v>
      </c>
      <c r="F100" t="str">
        <v>RADIATOR</v>
      </c>
      <c r="G100" t="str">
        <v>16400-11A40</v>
      </c>
      <c r="H100">
        <v>1</v>
      </c>
      <c r="I100" t="str">
        <v>Toyota</v>
      </c>
      <c r="J100" t="str">
        <v>—</v>
      </c>
      <c r="K100" t="str">
        <v>Unknown</v>
      </c>
      <c r="L100" t="str">
        <v>each</v>
      </c>
      <c r="M100">
        <v>1</v>
      </c>
      <c r="N100">
        <v>600</v>
      </c>
      <c r="O100" t="str">
        <v>excl</v>
      </c>
      <c r="P100" t="str">
        <v>JAE AUTO PTE LTD</v>
      </c>
      <c r="Q100" t="str">
        <v>AR202511-06174</v>
      </c>
      <c r="R100" t="str">
        <v>14/11/2025</v>
      </c>
      <c r="S100" t="str">
        <v>excel</v>
      </c>
      <c r="T100" t="str">
        <v>Google</v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</row>
    <row r="101">
      <c r="A101" t="str">
        <v>C15</v>
      </c>
      <c r="B101" t="str">
        <v>RADIATOR</v>
      </c>
      <c r="C101">
        <v>665</v>
      </c>
      <c r="D101">
        <v>650</v>
      </c>
      <c r="E101">
        <v>0.98</v>
      </c>
      <c r="F101" t="str">
        <v>RADIATOR</v>
      </c>
      <c r="G101" t="str">
        <v>T16400-47090</v>
      </c>
      <c r="H101">
        <v>1</v>
      </c>
      <c r="I101" t="str">
        <v>Toyota</v>
      </c>
      <c r="J101" t="str">
        <v>—</v>
      </c>
      <c r="K101" t="str">
        <v>Unknown</v>
      </c>
      <c r="L101" t="str">
        <v>each</v>
      </c>
      <c r="M101">
        <v>1</v>
      </c>
      <c r="N101">
        <v>650</v>
      </c>
      <c r="O101" t="str">
        <v>excl</v>
      </c>
      <c r="P101" t="str">
        <v>HE XING AUTO PARTS PTE LTD</v>
      </c>
      <c r="Q101" t="str">
        <v>DLI9286145</v>
      </c>
      <c r="R101" t="str">
        <v>19/12/2025</v>
      </c>
      <c r="S101" t="str">
        <v>excel</v>
      </c>
      <c r="T101" t="str">
        <v>Google</v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</row>
    <row r="102">
      <c r="A102" t="str">
        <v>C15</v>
      </c>
      <c r="B102" t="str">
        <v>RADIATOR</v>
      </c>
      <c r="C102">
        <v>665</v>
      </c>
      <c r="D102">
        <v>680</v>
      </c>
      <c r="E102">
        <v>1.02</v>
      </c>
      <c r="F102" t="str">
        <v>RADIATOR</v>
      </c>
      <c r="G102" t="str">
        <v>T16400-30172-R</v>
      </c>
      <c r="H102">
        <v>1</v>
      </c>
      <c r="I102" t="str">
        <v>Toyota</v>
      </c>
      <c r="J102" t="str">
        <v>Hiace</v>
      </c>
      <c r="K102" t="str">
        <v>Unknown</v>
      </c>
      <c r="L102" t="str">
        <v>each</v>
      </c>
      <c r="M102">
        <v>1</v>
      </c>
      <c r="N102">
        <v>680</v>
      </c>
      <c r="O102" t="str">
        <v>excl</v>
      </c>
      <c r="P102" t="str">
        <v>HE XING AUTO PARTS PTE LTD</v>
      </c>
      <c r="Q102" t="str">
        <v>DLI9281439</v>
      </c>
      <c r="R102" t="str">
        <v>26/04/2025</v>
      </c>
      <c r="S102" t="str">
        <v>excel</v>
      </c>
      <c r="T102" t="str">
        <v>Google</v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</row>
    <row r="103">
      <c r="A103" t="str">
        <v>C15</v>
      </c>
      <c r="B103" t="str">
        <v>RADIATOR</v>
      </c>
      <c r="C103">
        <v>665</v>
      </c>
      <c r="D103">
        <v>880</v>
      </c>
      <c r="E103">
        <v>1.32</v>
      </c>
      <c r="F103" t="str">
        <v>RADIATOR</v>
      </c>
      <c r="G103" t="str">
        <v>16400-30174</v>
      </c>
      <c r="H103">
        <v>1</v>
      </c>
      <c r="I103" t="str">
        <v>Toyota</v>
      </c>
      <c r="J103" t="str">
        <v>Hiace KDH200/KDH201</v>
      </c>
      <c r="K103" t="str">
        <v>Unknown</v>
      </c>
      <c r="L103" t="str">
        <v>each</v>
      </c>
      <c r="M103">
        <v>1</v>
      </c>
      <c r="N103">
        <v>880</v>
      </c>
      <c r="O103" t="str">
        <v>excl</v>
      </c>
      <c r="P103" t="str">
        <v>JAE AUTO PTE LTD</v>
      </c>
      <c r="Q103" t="str">
        <v>AR202507-13388</v>
      </c>
      <c r="R103" t="str">
        <v>01/07/2025</v>
      </c>
      <c r="S103" t="str">
        <v>excel</v>
      </c>
      <c r="T103" t="str">
        <v>Google</v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</row>
    <row r="104">
      <c r="A104" t="str">
        <v>C16</v>
      </c>
      <c r="B104" t="str">
        <v>Hood</v>
      </c>
      <c r="C104">
        <v>1274.5</v>
      </c>
      <c r="D104">
        <v>1150</v>
      </c>
      <c r="E104">
        <v>0.9</v>
      </c>
      <c r="F104" t="str">
        <v>HOOD</v>
      </c>
      <c r="G104" t="str">
        <v>MBA156 880 00 57 64</v>
      </c>
      <c r="H104">
        <v>1</v>
      </c>
      <c r="I104" t="str">
        <v>Mercedes-Benz</v>
      </c>
      <c r="J104" t="str">
        <v>—</v>
      </c>
      <c r="K104" t="str">
        <v>Unknown</v>
      </c>
      <c r="L104" t="str">
        <v>each</v>
      </c>
      <c r="M104">
        <v>1</v>
      </c>
      <c r="N104">
        <v>1150</v>
      </c>
      <c r="O104" t="str">
        <v>excl</v>
      </c>
      <c r="P104" t="str">
        <v>MIN GHEE AUTO PTE LTD</v>
      </c>
      <c r="Q104" t="str">
        <v>8397352</v>
      </c>
      <c r="R104" t="str">
        <v>03/07/2025</v>
      </c>
      <c r="S104" t="str">
        <v>excel</v>
      </c>
      <c r="T104" t="str">
        <v>Google</v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</row>
    <row r="105">
      <c r="A105" t="str">
        <v>C16</v>
      </c>
      <c r="B105" t="str">
        <v>Hood</v>
      </c>
      <c r="C105">
        <v>1274.5</v>
      </c>
      <c r="D105">
        <v>1205</v>
      </c>
      <c r="E105">
        <v>0.95</v>
      </c>
      <c r="F105" t="str">
        <v>Hood</v>
      </c>
      <c r="G105" t="str">
        <v>MBA213 880 03 57</v>
      </c>
      <c r="H105">
        <v>1</v>
      </c>
      <c r="I105" t="str">
        <v>Mercedes-Benz</v>
      </c>
      <c r="J105" t="str">
        <v>—</v>
      </c>
      <c r="K105" t="str">
        <v>Unknown</v>
      </c>
      <c r="L105" t="str">
        <v>each</v>
      </c>
      <c r="M105">
        <v>1</v>
      </c>
      <c r="N105">
        <v>1205</v>
      </c>
      <c r="O105" t="str">
        <v>unknown</v>
      </c>
      <c r="P105" t="str">
        <v>Min Ghee Auto Pte Ltd</v>
      </c>
      <c r="Q105" t="str">
        <v>8122844.0</v>
      </c>
      <c r="R105" t="str">
        <v>10/04/2018</v>
      </c>
      <c r="S105" t="str">
        <v>excel</v>
      </c>
      <c r="T105" t="str">
        <v>Google</v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</row>
    <row r="106">
      <c r="A106" t="str">
        <v>C16</v>
      </c>
      <c r="B106" t="str">
        <v>Hood</v>
      </c>
      <c r="C106">
        <v>1274.5</v>
      </c>
      <c r="D106">
        <v>1344</v>
      </c>
      <c r="E106">
        <v>1.05</v>
      </c>
      <c r="F106" t="str">
        <v>HOOD</v>
      </c>
      <c r="G106" t="str">
        <v>MBA253 880 01 57 64</v>
      </c>
      <c r="H106">
        <v>2</v>
      </c>
      <c r="I106" t="str">
        <v>Mercedes-Benz</v>
      </c>
      <c r="J106" t="str">
        <v>—</v>
      </c>
      <c r="K106" t="str">
        <v>Unknown</v>
      </c>
      <c r="L106" t="str">
        <v>each</v>
      </c>
      <c r="M106">
        <v>1</v>
      </c>
      <c r="N106">
        <v>1344</v>
      </c>
      <c r="O106" t="str">
        <v>excl</v>
      </c>
      <c r="P106" t="str">
        <v>MIN GHEE AUTO PTE LTD</v>
      </c>
      <c r="Q106" t="str">
        <v>8414503</v>
      </c>
      <c r="R106" t="str">
        <v>03/12/2025</v>
      </c>
      <c r="S106" t="str">
        <v>excel</v>
      </c>
      <c r="T106" t="str">
        <v>Google</v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</row>
    <row r="107">
      <c r="A107" t="str">
        <v>C16</v>
      </c>
      <c r="B107" t="str">
        <v>Hood</v>
      </c>
      <c r="C107">
        <v>1274.5</v>
      </c>
      <c r="D107">
        <v>1480</v>
      </c>
      <c r="E107">
        <v>1.16</v>
      </c>
      <c r="F107" t="str">
        <v>HOOD</v>
      </c>
      <c r="G107" t="str">
        <v>MBA253 880 01 57 64</v>
      </c>
      <c r="H107">
        <v>2</v>
      </c>
      <c r="I107" t="str">
        <v>Mercedes-Benz</v>
      </c>
      <c r="J107" t="str">
        <v>—</v>
      </c>
      <c r="K107" t="str">
        <v>Unknown</v>
      </c>
      <c r="L107" t="str">
        <v>each</v>
      </c>
      <c r="M107">
        <v>1</v>
      </c>
      <c r="N107">
        <v>1480</v>
      </c>
      <c r="O107" t="str">
        <v>excl</v>
      </c>
      <c r="P107" t="str">
        <v>MIN GHEE AUTO PTE LTD</v>
      </c>
      <c r="Q107" t="str">
        <v>8405253</v>
      </c>
      <c r="R107" t="str">
        <v>11/09/2025</v>
      </c>
      <c r="S107" t="str">
        <v>excel</v>
      </c>
      <c r="T107" t="str">
        <v>Google</v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</row>
  </sheetData>
  <autoFilter ref="A1:Z107"/>
  <hyperlinks>
    <hyperlink ref="T2" r:id="rId1" tooltip="MBA000 991 36 04 Mercedes-Benz"/>
    <hyperlink ref="T3" r:id="rId2" tooltip="MBA213 885 16 00 Mercedes-Benz"/>
    <hyperlink ref="T4" r:id="rId3" tooltip="MBA156 880 41 00 Mercedes-Benz"/>
    <hyperlink ref="T5" r:id="rId4" tooltip="MBA205 885 31 23 Mercedes-Benz"/>
    <hyperlink ref="T6" r:id="rId5" tooltip="MBA003 990 94 97/CUPPED BLIND RI Mercedes-Benz"/>
    <hyperlink ref="T7" r:id="rId6" tooltip="MBA253 885 05 22 Mercedes-Benz"/>
    <hyperlink ref="T8" r:id="rId7" tooltip="MBA156 880 46 00 Mercedes-Benz"/>
    <hyperlink ref="T9" r:id="rId8" tooltip="T81130-37203R Toyota"/>
    <hyperlink ref="T10" r:id="rId9" tooltip="T81170-37203R Toyota"/>
    <hyperlink ref="T11" r:id="rId10" tooltip="ZZT81130-0L010 Toyota"/>
    <hyperlink ref="T12" r:id="rId11" tooltip="ZZT81170-02F31 Toyota"/>
    <hyperlink ref="T13" r:id="rId12" tooltip="T81130-37660 Toyota"/>
    <hyperlink ref="T14" r:id="rId13" tooltip="ZZT81185-06d50 Toyota"/>
    <hyperlink ref="T15" r:id="rId14" tooltip="T81130-37660 Toyota"/>
    <hyperlink ref="T16" r:id="rId15" tooltip="T81130-12J70 Toyota"/>
    <hyperlink ref="T17" r:id="rId16" tooltip="T81170-12J70 Toyota"/>
    <hyperlink ref="T18" r:id="rId17" tooltip="T81150-B1431 Toyota"/>
    <hyperlink ref="T19" r:id="rId18" tooltip="T81170-52K30 Toyota"/>
    <hyperlink ref="T20" r:id="rId19" tooltip="T81130-28G40 Toyota"/>
    <hyperlink ref="T21" r:id="rId20" tooltip="T81145-78170 Toyota"/>
    <hyperlink ref="T22" r:id="rId21" tooltip="TY81185-48F60 Toyota"/>
    <hyperlink ref="T23" r:id="rId22" tooltip="1771986-SC-C Tesla"/>
    <hyperlink ref="T24" r:id="rId23" tooltip="1771936-SC-C Tesla"/>
    <hyperlink ref="T25" r:id="rId24" tooltip="1771936-SC-C Tesla"/>
    <hyperlink ref="T26" r:id="rId25" tooltip="1714884-EC-D Tesla"/>
    <hyperlink ref="T27" r:id="rId26" tooltip="1714884-EC-D Tesla"/>
    <hyperlink ref="T28" r:id="rId27" tooltip="1714884-EC-D Tesla"/>
    <hyperlink ref="T29" r:id="rId28" tooltip="1714884-EC-D Tesla"/>
    <hyperlink ref="T30" r:id="rId29" tooltip="MBA213 885 06 21 Mercedes-Benz"/>
    <hyperlink ref="T31" r:id="rId30" tooltip="MBA253 885 67 01 Mercedes-Benz"/>
    <hyperlink ref="T32" r:id="rId31" tooltip="A4478800612 Mercedes-Benz"/>
    <hyperlink ref="T33" r:id="rId32" tooltip="A4478800712 Mercedes-Benz"/>
    <hyperlink ref="T34" r:id="rId33" tooltip="3D0941165A Audi"/>
    <hyperlink ref="T35" r:id="rId34" tooltip="8T0941700B Audi"/>
    <hyperlink ref="T36" r:id="rId35" tooltip="8T0941699B Audi"/>
    <hyperlink ref="T37" r:id="rId36" tooltip="8R0807681M BJI Audi"/>
    <hyperlink ref="T38" r:id="rId37" tooltip="8R0807682J BJI Audi"/>
    <hyperlink ref="T39" r:id="rId38" tooltip="ZZT53801-26011 Toyota"/>
    <hyperlink ref="T40" r:id="rId39" tooltip="53802-26031 Toyota"/>
    <hyperlink ref="T41" r:id="rId40" tooltip="T53802-26021 Toyota"/>
    <hyperlink ref="T42" r:id="rId41" tooltip="T53802-26021 Toyota"/>
    <hyperlink ref="T43" r:id="rId42" tooltip="T53812-0D220 Toyota"/>
    <hyperlink ref="T44" r:id="rId43" tooltip="T53812-B1320 Toyota"/>
    <hyperlink ref="T45" r:id="rId44" tooltip="T53811-48210 Toyota"/>
    <hyperlink ref="T46" r:id="rId45" tooltip="T53811-78010 Toyota"/>
    <hyperlink ref="T47" r:id="rId46" tooltip="T53811-28180 Toyota"/>
    <hyperlink ref="T48" r:id="rId47" tooltip="T53113-26060 Toyota"/>
    <hyperlink ref="T49" r:id="rId48" tooltip="T53113-26060 Toyota"/>
    <hyperlink ref="T50" r:id="rId49" tooltip="T53112-26070 Toyota"/>
    <hyperlink ref="T51" r:id="rId50" tooltip="T53112-26070 Toyota"/>
    <hyperlink ref="T52" r:id="rId51" tooltip="T53112-26070 Toyota"/>
    <hyperlink ref="T53" r:id="rId52" tooltip="T53112-26070 Toyota"/>
    <hyperlink ref="T54" r:id="rId53" tooltip="T53112-48150 Toyota"/>
    <hyperlink ref="T55" r:id="rId54" tooltip="T53112-0D540 Toyota"/>
    <hyperlink ref="T56" r:id="rId55" tooltip="T53216-06170 Toyota"/>
    <hyperlink ref="T57" r:id="rId56" tooltip="T53201-26082 KDH201 Toyota"/>
    <hyperlink ref="T58" r:id="rId57" tooltip="T53201-26082 Toyota"/>
    <hyperlink ref="T59" r:id="rId58" tooltip="T53201-26082 Toyota"/>
    <hyperlink ref="T60" r:id="rId59" tooltip="T53201-26082 Toyota"/>
    <hyperlink ref="T61" r:id="rId60" tooltip="T53205-28200 Toyota"/>
    <hyperlink ref="T62" r:id="rId61" tooltip="MBA156 888 06 00 9040 Mercedes-Benz"/>
    <hyperlink ref="T63" r:id="rId62" tooltip="MBA156 888 24 00 9040 Mercedes-Benz"/>
    <hyperlink ref="T64" r:id="rId63" tooltip="MBA156 880 64 00 Mercedes-Benz"/>
    <hyperlink ref="T65" r:id="rId64" tooltip="MBA253 620 18 01 Mercedes-Benz"/>
    <hyperlink ref="T66" r:id="rId65" tooltip="MBA246 620 02 34 64 Mercedes-Benz"/>
    <hyperlink ref="T67" r:id="rId66" tooltip="T81130-06590 Toyota"/>
    <hyperlink ref="T68" r:id="rId67" tooltip="81130-0L011 KDH200 Toyota"/>
    <hyperlink ref="T69" r:id="rId68" tooltip="81170-0L011 KDH200 Toyota"/>
    <hyperlink ref="T70" r:id="rId69" tooltip="81130-0DF01/P90 Toyota"/>
    <hyperlink ref="T71" r:id="rId70" tooltip="81170-0DF01/P90 Toyota"/>
    <hyperlink ref="T72" r:id="rId71" tooltip="81130-0L011 Toyota"/>
    <hyperlink ref="T73" r:id="rId72" tooltip="81170-0L011 Toyota"/>
    <hyperlink ref="T74" r:id="rId73" tooltip="T81070-48890 Toyota"/>
    <hyperlink ref="T75" r:id="rId74" tooltip="T81140-48440 Toyota"/>
    <hyperlink ref="T76" r:id="rId75" tooltip="ZZT53112-02630 Toyota"/>
    <hyperlink ref="T77" r:id="rId76" tooltip="ZZT53112-26070 Toyota"/>
    <hyperlink ref="T78" r:id="rId77" tooltip="ZZT53112-26070 Toyota"/>
    <hyperlink ref="T79" r:id="rId78" tooltip="ZZT53102-06120 Toyota"/>
    <hyperlink ref="T80" r:id="rId79" tooltip="1774268-00-G Tesla"/>
    <hyperlink ref="T81" r:id="rId80" tooltip="1774268-00-G Tesla"/>
    <hyperlink ref="T82" r:id="rId81" tooltip="1774268-00-G Tesla"/>
    <hyperlink ref="T83" r:id="rId82" tooltip="1734299-00-H Tesla"/>
    <hyperlink ref="T84" r:id="rId83" tooltip="1734300-00-H Tesla"/>
    <hyperlink ref="T85" r:id="rId84" tooltip="1734299-00-H Tesla"/>
    <hyperlink ref="T86" r:id="rId85" tooltip="1734299-00-H Tesla"/>
    <hyperlink ref="T87" r:id="rId86" tooltip="1734299-00-H Tesla"/>
    <hyperlink ref="T88" r:id="rId87" tooltip="ZZT53301-26080 Toyota"/>
    <hyperlink ref="T89" r:id="rId88" tooltip="53301-26080 KDH200/1 Toyota"/>
    <hyperlink ref="T90" r:id="rId89" tooltip="53301-26080 Toyota"/>
    <hyperlink ref="T91" r:id="rId90" tooltip="53301-26080 Toyota"/>
    <hyperlink ref="T92" r:id="rId91" tooltip="T53301-28160 Toyota"/>
    <hyperlink ref="T93" r:id="rId92" tooltip="T53301-06200 Toyota"/>
    <hyperlink ref="T94" r:id="rId93" tooltip="T53301-12B30 Toyota"/>
    <hyperlink ref="T95" r:id="rId94" tooltip="53301-0D280 Toyota"/>
    <hyperlink ref="T96" r:id="rId95" tooltip="MBA000 817 21 16 Mercedes-Benz"/>
    <hyperlink ref="T97" r:id="rId96" tooltip="MBA000 817 10 16 Mercedes-Benz"/>
    <hyperlink ref="T98" r:id="rId97" tooltip="X0008171016 Mercedes-Benz"/>
    <hyperlink ref="T99" r:id="rId98" tooltip="X2078170016 Mercedes-Benz"/>
    <hyperlink ref="T100" r:id="rId99" tooltip="16400-11A40 Toyota"/>
    <hyperlink ref="T101" r:id="rId100" tooltip="T16400-47090 Toyota"/>
    <hyperlink ref="T102" r:id="rId101" tooltip="T16400-30172-R Toyota"/>
    <hyperlink ref="T103" r:id="rId102" tooltip="16400-30174 Toyota"/>
    <hyperlink ref="T104" r:id="rId103" tooltip="MBA156 880 00 57 64 Mercedes-Benz"/>
    <hyperlink ref="T105" r:id="rId104" tooltip="MBA213 880 03 57 Mercedes-Benz"/>
    <hyperlink ref="T106" r:id="rId105" tooltip="MBA253 880 01 57 64 Mercedes-Benz"/>
    <hyperlink ref="T107" r:id="rId106" tooltip="MBA253 880 01 57 64 Mercedes-Benz"/>
  </hyperlinks>
  <ignoredErrors>
    <ignoredError numberStoredAsText="1" sqref="A1:Z10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0.83203125" customWidth="1"/>
    <col min="2" max="2" width="80.83203125" customWidth="1"/>
  </cols>
  <sheetData>
    <row r="1">
      <c r="A1" t="str">
        <v>Code</v>
      </c>
      <c r="B1" t="str">
        <v>Meaning</v>
      </c>
    </row>
    <row r="2">
      <c r="A2" t="str">
        <v>SAME</v>
      </c>
      <c r="B2" t="str">
        <v>Same part — price difference is genuine market variation</v>
      </c>
    </row>
    <row r="3">
      <c r="A3" t="str">
        <v>SUBPART</v>
      </c>
      <c r="B3" t="str">
        <v>Different part — sub-component, bracket, clip or cover vs the full assembly</v>
      </c>
    </row>
    <row r="4">
      <c r="A4" t="str">
        <v>VEHICLE</v>
      </c>
      <c r="B4" t="str">
        <v>Same part name, but for a different vehicle/model (not interchangeable)</v>
      </c>
    </row>
    <row r="5">
      <c r="A5" t="str">
        <v>POSITION</v>
      </c>
      <c r="B5" t="str">
        <v>Different position (front/rear, upper/lower, inner/outer)</v>
      </c>
    </row>
    <row r="6">
      <c r="A6" t="str">
        <v>GRADE</v>
      </c>
      <c r="B6" t="str">
        <v>Different grade (genuine vs aftermarket vs used/recon)</v>
      </c>
    </row>
    <row r="7">
      <c r="A7" t="str">
        <v>PAIR</v>
      </c>
      <c r="B7" t="str">
        <v>Line prices a pair or set, not a single unit</v>
      </c>
    </row>
    <row r="8">
      <c r="A8" t="str">
        <v>OCR</v>
      </c>
      <c r="B8" t="str">
        <v>OCR error — misread price, part number, or value bled from another row</v>
      </c>
    </row>
    <row r="9">
      <c r="A9" t="str">
        <v>UNKNOWN</v>
      </c>
      <c r="B9" t="str">
        <v>Cannot tell from the bill and an online lookup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Summary</vt:lpstr>
      <vt:lpstr>Clusters</vt:lpstr>
      <vt:lpstr>Lines</vt:lpstr>
      <vt:lpstr>Causes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