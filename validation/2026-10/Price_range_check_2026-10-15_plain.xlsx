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tart here" state="visible" r:id="rId4"/>
    <sheet sheetId="2" name="2. Check each line" state="visible" r:id="rId5"/>
    <sheet sheetId="3" name="3. Price groups" state="visible" r:id="rId6"/>
    <sheet sheetId="4" name="4. Results" state="visible" r:id="rId7"/>
    <sheet sheetId="5" name="5. Bills" state="visible" r:id="rId8"/>
  </sheets>
  <calcPr calcId="171027"/>
</workbook>
</file>

<file path=xl/sharedStrings.xml><?xml version="1.0" encoding="utf-8"?>
<sst xmlns="http://schemas.openxmlformats.org/spreadsheetml/2006/main" count="2570" uniqueCount="475">
  <si>
    <t>Are the big price ranges real?</t>
  </si>
  <si>
    <t>A check on why some parts show a very wide price range in the price reference</t>
  </si>
  <si>
    <t>What this is about</t>
  </si>
  <si>
    <t>The price reference groups together lines from supplier bills that describe the same part, and reports the typical price for each group (the middle price, so one unusual bill does not move it much). Some groups have a very wide range. For example the Toyota headlamp group runs from S$185 to S$3600.</t>
  </si>
  <si>
    <t>There are two possible explanations, and they lead to different fixes:</t>
  </si>
  <si>
    <t>•  The prices really do vary for the same part. The typical price is still fine to use.</t>
  </si>
  <si>
    <t>•  The group has lumped different parts together because their names look alike (a small clip with a whole bumper, or a headlamp for one car with a headlamp for another). Then the typical price is misleading, and the way parts are grouped needs fixing.</t>
  </si>
  <si>
    <t>What we checked</t>
  </si>
  <si>
    <t>16 groups, 106 bill lines in total:</t>
  </si>
  <si>
    <t>•  11 groups with the widest price ranges (78 lines).</t>
  </si>
  <si>
    <t>•  5 comparison groups whose prices are fairly close (28 lines). These should come back as "same part". If they don't, the checking is being too strict.</t>
  </si>
  <si>
    <t>Of the 106 lines, 97 have the scanned bill on this computer (click Open). The other 9 are older 2018 bills added from a spreadsheet, so only our typed-up record is available.</t>
  </si>
  <si>
    <t>What we already know</t>
  </si>
  <si>
    <t>When the part number is exactly the same</t>
  </si>
  <si>
    <t>Prices agree</t>
  </si>
  <si>
    <t>Across the whole reference, the same part number from different suppliers costs almost exactly the same (typical difference: none). So where we know it is the same part, prices are not wildly different.</t>
  </si>
  <si>
    <t>The headlamp group</t>
  </si>
  <si>
    <t>14 prices, 13 different part numbers</t>
  </si>
  <si>
    <t>Almost every bill in it is for a different part number. That suggests different headlamps grouped together, not one headlamp at many prices. This file lets a person confirm it.</t>
  </si>
  <si>
    <t>Comparing similar parts by car model</t>
  </si>
  <si>
    <t>Did not help</t>
  </si>
  <si>
    <t>Keeping only lines for the same car model halved the number of usable groups without narrowing the ranges.</t>
  </si>
  <si>
    <t>What we need from you  (about 2 hours)</t>
  </si>
  <si>
    <t>Step 1.  Sheet "2. Check each line" (106 lines). For each line, click Open to see the bill and Search to look up the part number online. Write what the part is and which car it fits, then pick a reason from the drop-down in the yellow column. Lines are listed cheapest first within each group.</t>
  </si>
  <si>
    <t>Step 2.  Sheet "3. Price groups" (16 groups). Once a group's lines are done, pick a verdict for the whole group.</t>
  </si>
  <si>
    <t>Step 3.  Sheet "4. Results" fills itself in and gives the answer.</t>
  </si>
  <si>
    <t>Tip: judge each line against what most of the group is (e.g. a full headlamp), not against the price. Looking up prices online is optional: Singapore prices are hard to find online and overseas prices are not comparable.</t>
  </si>
  <si>
    <t>What the reasons mean</t>
  </si>
  <si>
    <t>Same part, price just varies</t>
  </si>
  <si>
    <t>It really is the same part. The price difference is genuine (different supplier, date or deal).</t>
  </si>
  <si>
    <t>Smaller piece of the part</t>
  </si>
  <si>
    <t>A clip, bracket, cover or other small piece, grouped with the full part (e.g. a S$5 bumper clip next to a S$600 bumper).</t>
  </si>
  <si>
    <t>Same name, different car</t>
  </si>
  <si>
    <t>Same kind of part, but made for a different car model, so not interchangeable.</t>
  </si>
  <si>
    <t>Different position (front/rear etc.)</t>
  </si>
  <si>
    <t>Front vs rear, upper vs lower, or inner vs outer.</t>
  </si>
  <si>
    <t>Different quality (genuine/copy/used)</t>
  </si>
  <si>
    <t>Genuine maker's part vs a copy (aftermarket) or a used/reconditioned one.</t>
  </si>
  <si>
    <t>Priced as a pair or set</t>
  </si>
  <si>
    <t>The line charges for two (left and right) or a kit, not one piece.</t>
  </si>
  <si>
    <t>Reading mistake on our record</t>
  </si>
  <si>
    <t>Our record has the wrong part number or price compared with the bill itself.</t>
  </si>
  <si>
    <t>Can't tell</t>
  </si>
  <si>
    <t>Not enough information on the bill or online to decide.</t>
  </si>
  <si>
    <t>Words used in this file</t>
  </si>
  <si>
    <t>Group</t>
  </si>
  <si>
    <t>Bill lines the price reference treats as the same part. Each group gets one typical price.</t>
  </si>
  <si>
    <t>Typical price</t>
  </si>
  <si>
    <t>The middle price in the group: half the prices are below it, half above.</t>
  </si>
  <si>
    <t>Part number</t>
  </si>
  <si>
    <t>The maker's code printed on the bill that identifies the exact part (for example 81130-0L011).</t>
  </si>
  <si>
    <t>× typical</t>
  </si>
  <si>
    <t>How a line's price compares with its group's typical price. 2.0 means twice the typical price, 0.5 means half.</t>
  </si>
  <si>
    <t>Files: made from PartsIndex_data_validation_2026-10-15.xlsx. Scanned bills are in /home/jason/mm-parts-index/invoices. Price reference snapshot PIX-335e1802-6b06668c, taken 2026-10-15.</t>
  </si>
  <si>
    <t>Group name</t>
  </si>
  <si>
    <t>Comparison group?</t>
  </si>
  <si>
    <t>Price on this bill (S$)</t>
  </si>
  <si>
    <t>Description on the bill</t>
  </si>
  <si>
    <t>Part number on the bill</t>
  </si>
  <si>
    <t>Car make</t>
  </si>
  <si>
    <t>Car model</t>
  </si>
  <si>
    <t>Supplier</t>
  </si>
  <si>
    <t>Bill number</t>
  </si>
  <si>
    <t>Bill date</t>
  </si>
  <si>
    <t>Bill file name</t>
  </si>
  <si>
    <t>Open the bill</t>
  </si>
  <si>
    <t>Look it up</t>
  </si>
  <si>
    <t>WHAT IS THIS PART?</t>
  </si>
  <si>
    <t>WHICH CAR DOES IT FIT?</t>
  </si>
  <si>
    <t>REASON (pick from list)</t>
  </si>
  <si>
    <t>Price found online (S$, optional)</t>
  </si>
  <si>
    <t>Where you found it (link)</t>
  </si>
  <si>
    <t>Your notes</t>
  </si>
  <si>
    <t>C01</t>
  </si>
  <si>
    <t>Cover Bumper</t>
  </si>
  <si>
    <t/>
  </si>
  <si>
    <t>COVER BUMPER</t>
  </si>
  <si>
    <t>MBA000 991 36 04</t>
  </si>
  <si>
    <t>Mercedes-Benz</t>
  </si>
  <si>
    <t>—</t>
  </si>
  <si>
    <t>MIN GHEE AUTO PTE LTD</t>
  </si>
  <si>
    <t>8414503</t>
  </si>
  <si>
    <t>03/12/2025</t>
  </si>
  <si>
    <t>2026-01-05-Allianz Insurance Singapore Pte. Ltd.-MERCEDES-BENZ-132.PDF</t>
  </si>
  <si>
    <t>Open</t>
  </si>
  <si>
    <t>Search</t>
  </si>
  <si>
    <t>MBA213 885 16 00</t>
  </si>
  <si>
    <t>Min Ghee Auto Pte Ltd</t>
  </si>
  <si>
    <t>8122844</t>
  </si>
  <si>
    <t>10/04/2018</t>
  </si>
  <si>
    <t>No scanned copy on this computer (older bill, added from a spreadsheet)</t>
  </si>
  <si>
    <t>–</t>
  </si>
  <si>
    <t>COVER, BUMPER AREA</t>
  </si>
  <si>
    <t>MBA156 880 41 00</t>
  </si>
  <si>
    <t>8397352</t>
  </si>
  <si>
    <t>03/07/2025</t>
  </si>
  <si>
    <t>2025-08-17-Allianz Insurance Singapore Pte. Ltd.-MERCEDES-BENZ-6.JPG</t>
  </si>
  <si>
    <t>COVER BUMPER AREA</t>
  </si>
  <si>
    <t>MBA205 885 31 23</t>
  </si>
  <si>
    <t>MIN GHEE AUTO PTE. LTD.</t>
  </si>
  <si>
    <t>8407516</t>
  </si>
  <si>
    <t>01/10/2025</t>
  </si>
  <si>
    <t>2025-10-15-AIG Asia Pacific Insurance Pte. Ltd.-MERCEDES-BENZ-49.PDF</t>
  </si>
  <si>
    <t>MBA003 990 94 97/CUPPED BLIND RI</t>
  </si>
  <si>
    <t>MBA253 885 05 22</t>
  </si>
  <si>
    <t>8405253</t>
  </si>
  <si>
    <t>11/09/2025</t>
  </si>
  <si>
    <t>2025-10-17-AIG Asia Pacific Insurance Pte. Ltd.-MERCEDES-BENZ-55.PDF</t>
  </si>
  <si>
    <t>MBA156 880 46 00</t>
  </si>
  <si>
    <t>C02</t>
  </si>
  <si>
    <t>HEADLAMP LH</t>
  </si>
  <si>
    <t>HEADLAMP RH</t>
  </si>
  <si>
    <t>T81130-37203R</t>
  </si>
  <si>
    <t>Toyota</t>
  </si>
  <si>
    <t>Precision Auto Parts Supplies Pte Ltd</t>
  </si>
  <si>
    <t>INV-0463</t>
  </si>
  <si>
    <t>29/09/2025</t>
  </si>
  <si>
    <t>2025-10-08-AIG Asia Pacific Insurance Pte. Ltd.-TOYOTA-45.PDF</t>
  </si>
  <si>
    <t>T81170-37203R</t>
  </si>
  <si>
    <t>ZZT81130-0L010</t>
  </si>
  <si>
    <t>KDH201</t>
  </si>
  <si>
    <t>FORTUNA AUTOMOTIVE PTE LTD</t>
  </si>
  <si>
    <t>CL2508266</t>
  </si>
  <si>
    <t>14/08/2025</t>
  </si>
  <si>
    <t>2025-11-24-Tokio Marine Insurance Singapore Ltd-TOYOTA-81.PDF</t>
  </si>
  <si>
    <t>ZZT81170-02F31</t>
  </si>
  <si>
    <t>ZRE171</t>
  </si>
  <si>
    <t>CL2508534</t>
  </si>
  <si>
    <t>27/08/2025</t>
  </si>
  <si>
    <t>2025-09-17-AIG Asia Pacific Insurance Pte. Ltd.-TOYOTA-21.PDF</t>
  </si>
  <si>
    <t>HEADLAMP</t>
  </si>
  <si>
    <t>T81130-37660</t>
  </si>
  <si>
    <t>ZZT81185-06d50</t>
  </si>
  <si>
    <t>ASV51</t>
  </si>
  <si>
    <t>CL2510229</t>
  </si>
  <si>
    <t>15/10/2025</t>
  </si>
  <si>
    <t>2025-10-27-AIG Asia Pacific Insurance Pte. Ltd.-TOYOTA-60.PDF</t>
  </si>
  <si>
    <t>HEADLAMP UNIT RH</t>
  </si>
  <si>
    <t>HE XING AUTO PARTS PTE LTD</t>
  </si>
  <si>
    <t>DLI9283883</t>
  </si>
  <si>
    <t>22/08/2025</t>
  </si>
  <si>
    <t>2026-02-23-Allianz Insurance Singapore Pte. Ltd.-TOYOTA-179.PDF</t>
  </si>
  <si>
    <t>T81130-12J70</t>
  </si>
  <si>
    <t>DLI9286145</t>
  </si>
  <si>
    <t>19/12/2025</t>
  </si>
  <si>
    <t>2026-01-15-Allianz Insurance Singapore Pte. Ltd.-TOYOTA-140.PDF</t>
  </si>
  <si>
    <t>HEADLAMP UNIT LH</t>
  </si>
  <si>
    <t>T81170-12J70</t>
  </si>
  <si>
    <t>HEADLAMP ASSY LH</t>
  </si>
  <si>
    <t>T81150-B1431</t>
  </si>
  <si>
    <t>DLI9284206</t>
  </si>
  <si>
    <t>09/09/2025</t>
  </si>
  <si>
    <t>2026-01-14-HL Assurance Pte Ltd-TOYOTA-139.PDF</t>
  </si>
  <si>
    <t>T81170-52K30</t>
  </si>
  <si>
    <t>Sienta</t>
  </si>
  <si>
    <t>DLI9281716</t>
  </si>
  <si>
    <t>10/05/2025</t>
  </si>
  <si>
    <t>2025-10-21-HL Assurance Pte Ltd-TOYOTA-58.PDF</t>
  </si>
  <si>
    <t>T81130-28G40</t>
  </si>
  <si>
    <t>DLI9285374</t>
  </si>
  <si>
    <t>10/11/2025</t>
  </si>
  <si>
    <t>2026-01-21-HL Assurance Pte Ltd-TOYOTA-146.PDF</t>
  </si>
  <si>
    <t>T81145-78170</t>
  </si>
  <si>
    <t>DLI9285054</t>
  </si>
  <si>
    <t>25/10/2025</t>
  </si>
  <si>
    <t>2025-11-22-AIG Asia Pacific Insurance Pte. Ltd.-LEXUS-80.PDF</t>
  </si>
  <si>
    <t>TY81185-48F60</t>
  </si>
  <si>
    <t>1577663</t>
  </si>
  <si>
    <t>25/11/2025</t>
  </si>
  <si>
    <t>2025-12-03-Allianz Insurance Singapore Pte. Ltd.-TOYOTA-101.PDF</t>
  </si>
  <si>
    <t>C03</t>
  </si>
  <si>
    <t>ASSEMBLY - FENDER SUPPORT - LEFT HAND</t>
  </si>
  <si>
    <t>1771986-SC-C</t>
  </si>
  <si>
    <t>Tesla</t>
  </si>
  <si>
    <t>Tesla Motors Singapore Private Limited</t>
  </si>
  <si>
    <t>2040R0000004181</t>
  </si>
  <si>
    <t>2025/07/31</t>
  </si>
  <si>
    <t>2026-02-09-Allianz Insurance Singapore Pte. Ltd.-TESLA-155.PDF</t>
  </si>
  <si>
    <t>1771936-SC-C</t>
  </si>
  <si>
    <t>Model 3</t>
  </si>
  <si>
    <t>2040R0000004919</t>
  </si>
  <si>
    <t>20/11/2025</t>
  </si>
  <si>
    <t>2026-02-09-Allianz Insurance Singapore Pte. Ltd.-TESLA-169.PDF</t>
  </si>
  <si>
    <t>2026-02-09-Allianz Insurance Singapore Pte. Ltd.-TESLA-173.JPG</t>
  </si>
  <si>
    <t>ASSEMBLY - FENDER - LEFT HAND</t>
  </si>
  <si>
    <t>1714884-EC-D</t>
  </si>
  <si>
    <t>28/11/2025</t>
  </si>
  <si>
    <t>C04</t>
  </si>
  <si>
    <t>Mounting Rail</t>
  </si>
  <si>
    <t>MBA213 885 06 21</t>
  </si>
  <si>
    <t>8123192</t>
  </si>
  <si>
    <t>10/08/2018</t>
  </si>
  <si>
    <t>MOUNTING RAIL</t>
  </si>
  <si>
    <t>MBA253 885 67 01</t>
  </si>
  <si>
    <t>MOUNTING RAIL FRT LH</t>
  </si>
  <si>
    <t>A4478800612</t>
  </si>
  <si>
    <t>SURPASS AUTO PARTS SUPPLIES PTE LTD</t>
  </si>
  <si>
    <t>25080083</t>
  </si>
  <si>
    <t>01/08/2025</t>
  </si>
  <si>
    <t>2026-01-07-Tokio Marine Insurance Singapore Ltd-MERCEDES-BENZ-135.PDF</t>
  </si>
  <si>
    <t>MOUNTING RAIL FRT RH</t>
  </si>
  <si>
    <t>A4478800712</t>
  </si>
  <si>
    <t>C05</t>
  </si>
  <si>
    <t>Front Bumper Fog Lamp RH</t>
  </si>
  <si>
    <t>Front Bumper Fog Lamp Connector LH</t>
  </si>
  <si>
    <t>3D0941165A</t>
  </si>
  <si>
    <t>Audi</t>
  </si>
  <si>
    <t>Q5</t>
  </si>
  <si>
    <t>Jae Auto Pte Ltd</t>
  </si>
  <si>
    <t>AR201805-00837</t>
  </si>
  <si>
    <t>05/02/2018</t>
  </si>
  <si>
    <t>8T0941700B</t>
  </si>
  <si>
    <t>AR201805-02365</t>
  </si>
  <si>
    <t>05/05/2018</t>
  </si>
  <si>
    <t>Front Bumper Fog Lamp LH</t>
  </si>
  <si>
    <t>8T0941699B</t>
  </si>
  <si>
    <t>AR201805-03001</t>
  </si>
  <si>
    <t>05/07/2018</t>
  </si>
  <si>
    <t>Front Bumper Fog Lamp Cover LH</t>
  </si>
  <si>
    <t>8R0807681M BJI</t>
  </si>
  <si>
    <t>AR201804-1417</t>
  </si>
  <si>
    <t>25/04/2018</t>
  </si>
  <si>
    <t>Front Bumper Fog Lamp Cover RH</t>
  </si>
  <si>
    <t>8R0807682J BJI</t>
  </si>
  <si>
    <t>C06</t>
  </si>
  <si>
    <t>FR FENDER LH</t>
  </si>
  <si>
    <t>FR FENDER RH</t>
  </si>
  <si>
    <t>ZZT53801-26011</t>
  </si>
  <si>
    <t>FRT FENDER LH</t>
  </si>
  <si>
    <t>53802-26031</t>
  </si>
  <si>
    <t>JAE AUTO PTE LTD</t>
  </si>
  <si>
    <t>AR202511-06143</t>
  </si>
  <si>
    <t>14/11/2025</t>
  </si>
  <si>
    <t>2025-11-29-Allianz Insurance Singapore Pte. Ltd.-TOYOTA-84.PDF</t>
  </si>
  <si>
    <t>T53802-26021</t>
  </si>
  <si>
    <t>Hiace KDH200</t>
  </si>
  <si>
    <t>AR202601-08997</t>
  </si>
  <si>
    <t>21/01/2026</t>
  </si>
  <si>
    <t>2026-02-03-AIG Asia Pacific Insurance Pte. Ltd.-TOYOTA-152.PDF</t>
  </si>
  <si>
    <t>Hiace KDH200/KDH201</t>
  </si>
  <si>
    <t>AR202507-13388</t>
  </si>
  <si>
    <t>01/07/2025</t>
  </si>
  <si>
    <t>2025-12-05-Tokio Marine Insurance Singapore Ltd-TOYOTA-106.PDF</t>
  </si>
  <si>
    <t>T53812-0D220</t>
  </si>
  <si>
    <t>T53812-B1320</t>
  </si>
  <si>
    <t>FRT FENDER RH</t>
  </si>
  <si>
    <t>T53811-48210</t>
  </si>
  <si>
    <t>AR202601-05752</t>
  </si>
  <si>
    <t>14/01/2026</t>
  </si>
  <si>
    <t>2026-02-25-ECICS Limited-TOYOTA-181.PDF</t>
  </si>
  <si>
    <t>T53811-78010</t>
  </si>
  <si>
    <t>T53811-28180</t>
  </si>
  <si>
    <t>C07</t>
  </si>
  <si>
    <t>FRT BUMPER GRILLE LH</t>
  </si>
  <si>
    <t>T53113-26060</t>
  </si>
  <si>
    <t>AR202511-06653</t>
  </si>
  <si>
    <t>2025-11-29-Allianz Insurance Singapore Pte. Ltd.-TOYOTA-91.PDF</t>
  </si>
  <si>
    <t>AR202509-09589</t>
  </si>
  <si>
    <t>22/09/2025</t>
  </si>
  <si>
    <t>2025-09-26-EQ Insurance Company Ltd-TOYOTA-26.PDF</t>
  </si>
  <si>
    <t>FRT BUMPER LWR GRILLE</t>
  </si>
  <si>
    <t>T53112-26070</t>
  </si>
  <si>
    <t>AR202509-09989</t>
  </si>
  <si>
    <t>23/09/2025</t>
  </si>
  <si>
    <t>2025-09-26-EQ Insurance Company Ltd-TOYOTA-29.PDF</t>
  </si>
  <si>
    <t>AR202511-08382</t>
  </si>
  <si>
    <t>2025-11-29-Allianz Insurance Singapore Pte. Ltd.-TOYOTA-90.PDF</t>
  </si>
  <si>
    <t>T53112-48150</t>
  </si>
  <si>
    <t>T53112-0D540</t>
  </si>
  <si>
    <t>Vios</t>
  </si>
  <si>
    <t>AR202509-09467</t>
  </si>
  <si>
    <t>2025-11-19-Tokio Marine Insurance Singapore Ltd-TOYOTA-74.PDF</t>
  </si>
  <si>
    <t>C08</t>
  </si>
  <si>
    <t>SUPPORT PANEL</t>
  </si>
  <si>
    <t>SUPPORT PANEL TOP</t>
  </si>
  <si>
    <t>T53216-06170</t>
  </si>
  <si>
    <t>Camry</t>
  </si>
  <si>
    <t>DLI9286779</t>
  </si>
  <si>
    <t>24/01/2026</t>
  </si>
  <si>
    <t>2026-02-02-AIG Asia Pacific Insurance Pte. Ltd.-TOYOTA-151.PDF</t>
  </si>
  <si>
    <t>SUPPORT PANEL 11"</t>
  </si>
  <si>
    <t>T53201-26082 KDH201</t>
  </si>
  <si>
    <t>AR202511-06073</t>
  </si>
  <si>
    <t>2025-11-29-Allianz Insurance Singapore Pte. Ltd.-TOYOTA-83.PDF</t>
  </si>
  <si>
    <t>T53201-26082</t>
  </si>
  <si>
    <t>DLI9285352</t>
  </si>
  <si>
    <t>2025-11-18-AIG Asia Pacific Insurance Pte. Ltd.-TOYOTA-72.PDF</t>
  </si>
  <si>
    <t>T53205-28200</t>
  </si>
  <si>
    <t>C09</t>
  </si>
  <si>
    <t>CARRIER</t>
  </si>
  <si>
    <t>MBA156 888 06 00 9040</t>
  </si>
  <si>
    <t>MBA156 888 24 00 9040</t>
  </si>
  <si>
    <t>MBA156 880 64 00</t>
  </si>
  <si>
    <t>ASSY. CARRIER, FRONT</t>
  </si>
  <si>
    <t>MBA253 620 18 01</t>
  </si>
  <si>
    <t>MBA246 620 02 34 64</t>
  </si>
  <si>
    <t>C10</t>
  </si>
  <si>
    <t>Head Lamp RH 09" (TH)</t>
  </si>
  <si>
    <t>T81130-06590</t>
  </si>
  <si>
    <t>AR201806-15561</t>
  </si>
  <si>
    <t>29/06/2018</t>
  </si>
  <si>
    <t>HEAD LAMP RH</t>
  </si>
  <si>
    <t>81130-0L011 KDH200</t>
  </si>
  <si>
    <t>HEAD LAMP LH</t>
  </si>
  <si>
    <t>81170-0L011 KDH200</t>
  </si>
  <si>
    <t>81130-0DF01/P90</t>
  </si>
  <si>
    <t>81170-0DF01/P90</t>
  </si>
  <si>
    <t>81130-0L011</t>
  </si>
  <si>
    <t>81170-0L011</t>
  </si>
  <si>
    <t>T81070-48890</t>
  </si>
  <si>
    <t>T81140-48440</t>
  </si>
  <si>
    <t>C11</t>
  </si>
  <si>
    <t>F/B LOWER GRILLE</t>
  </si>
  <si>
    <t>ZZT53112-02630</t>
  </si>
  <si>
    <t>ZZT53112-26070</t>
  </si>
  <si>
    <t>F/B LOWER CENTRE GRILLE</t>
  </si>
  <si>
    <t>CL2508246</t>
  </si>
  <si>
    <t>13/08/2025</t>
  </si>
  <si>
    <t>2026-02-12-AIG Asia Pacific Insurance Pte. Ltd.-TOYOTA-178.PDF</t>
  </si>
  <si>
    <t>ZZT53102-06120</t>
  </si>
  <si>
    <t>C12</t>
  </si>
  <si>
    <t>BRACKET- FASCIA FRT CTR TO FDR LH</t>
  </si>
  <si>
    <t>Yes</t>
  </si>
  <si>
    <t>BRACKET - FASCIA SIDE TO FDR LH</t>
  </si>
  <si>
    <t>1774268-00-G</t>
  </si>
  <si>
    <t>EPC-5140005-1</t>
  </si>
  <si>
    <t>2026-02-09-Allianz Insurance Singapore Pte. Ltd.-TESLA-158.JPG</t>
  </si>
  <si>
    <t>1734299-00-H</t>
  </si>
  <si>
    <t>2040R0000004325</t>
  </si>
  <si>
    <t>19/08/2025</t>
  </si>
  <si>
    <t>2025-12-02-Allianz Insurance Singapore Pte. Ltd.-TESLA-94.PDF</t>
  </si>
  <si>
    <t>BRACKET- FASCIA FRT CTR TO FDR RH</t>
  </si>
  <si>
    <t>1734300-00-H</t>
  </si>
  <si>
    <t>2040R0000004342</t>
  </si>
  <si>
    <t>2025-12-02-Allianz Insurance Singapore Pte. Ltd.-TESLA-95.PDF</t>
  </si>
  <si>
    <t>2040R0000004188</t>
  </si>
  <si>
    <t>31/07/2025</t>
  </si>
  <si>
    <t>2026-02-09-Allianz Insurance Singapore Pte. Ltd.-TESLA-156.PDF</t>
  </si>
  <si>
    <t>BRACKET-FASCIA FRT CTR TO FDR LH</t>
  </si>
  <si>
    <t>C13</t>
  </si>
  <si>
    <t>FRT BONNET</t>
  </si>
  <si>
    <t>BONNET</t>
  </si>
  <si>
    <t>ZZT53301-26080</t>
  </si>
  <si>
    <t>53301-26080 KDH200/1</t>
  </si>
  <si>
    <t>53301-26080</t>
  </si>
  <si>
    <t>Hiace KDH201</t>
  </si>
  <si>
    <t>AR202509-09533</t>
  </si>
  <si>
    <t>2025-09-26-EQ Insurance Company Ltd-TOYOTA-27.PDF</t>
  </si>
  <si>
    <t>T53301-28160</t>
  </si>
  <si>
    <t>T53301-06200</t>
  </si>
  <si>
    <t>T53301-12B30</t>
  </si>
  <si>
    <t>53301-0D280</t>
  </si>
  <si>
    <t>AR202509-09473</t>
  </si>
  <si>
    <t>2025-11-19-Tokio Marine Insurance Singapore Ltd-TOYOTA-75.PDF</t>
  </si>
  <si>
    <t>C14</t>
  </si>
  <si>
    <t>MERCEDES STAR(GRILLE)</t>
  </si>
  <si>
    <t>MERCEDES STAR</t>
  </si>
  <si>
    <t>MBA000 817 21 16</t>
  </si>
  <si>
    <t>841346</t>
  </si>
  <si>
    <t>21/11/2025</t>
  </si>
  <si>
    <t>2026-01-05-Allianz Insurance Singapore Pte. Ltd.-MERCEDES-BENZ-131.PDF</t>
  </si>
  <si>
    <t>MBA000 817 10 16</t>
  </si>
  <si>
    <t>X0008171016</t>
  </si>
  <si>
    <t>25100058</t>
  </si>
  <si>
    <t>06/10/2025</t>
  </si>
  <si>
    <t>2025-10-21-AIG Asia Pacific Insurance Pte. Ltd.-MERCEDES-BENZ-57.PDF</t>
  </si>
  <si>
    <t>MERCEDES STAR GRILLE</t>
  </si>
  <si>
    <t>X2078170016</t>
  </si>
  <si>
    <t>C15</t>
  </si>
  <si>
    <t>RADIATOR</t>
  </si>
  <si>
    <t>16400-11A40</t>
  </si>
  <si>
    <t>AR202511-06174</t>
  </si>
  <si>
    <t>2025-11-29-Allianz Insurance Singapore Pte. Ltd.-TOYOTA-88.PDF</t>
  </si>
  <si>
    <t>T16400-47090</t>
  </si>
  <si>
    <t>T16400-30172-R</t>
  </si>
  <si>
    <t>Hiace</t>
  </si>
  <si>
    <t>DLI9281439</t>
  </si>
  <si>
    <t>26/04/2025</t>
  </si>
  <si>
    <t>2025-05-20-Allianz Insurance Singapore Pte. Ltd.-TOYOTA-1.PDF</t>
  </si>
  <si>
    <t>16400-30174</t>
  </si>
  <si>
    <t>C16</t>
  </si>
  <si>
    <t>Hood</t>
  </si>
  <si>
    <t>HOOD</t>
  </si>
  <si>
    <t>MBA156 880 00 57 64</t>
  </si>
  <si>
    <t>MBA213 880 03 57</t>
  </si>
  <si>
    <t>MBA253 880 01 57 64</t>
  </si>
  <si>
    <t>Why we picked it</t>
  </si>
  <si>
    <t>Number of prices</t>
  </si>
  <si>
    <t>Cheapest (S$)</t>
  </si>
  <si>
    <t>Typical price (S$)</t>
  </si>
  <si>
    <t>Dearest (S$)</t>
  </si>
  <si>
    <t>Dearest is … times the cheapest</t>
  </si>
  <si>
    <t>Different part numbers in the group</t>
  </si>
  <si>
    <t>Different suppliers</t>
  </si>
  <si>
    <t>Names used on the bills</t>
  </si>
  <si>
    <t>Bill files in this group</t>
  </si>
  <si>
    <t>Lines done</t>
  </si>
  <si>
    <t>Lines marked "Same part, price just varies"</t>
  </si>
  <si>
    <t>YOUR VERDICT (pick from list)</t>
  </si>
  <si>
    <t>The dearest price is 5 times the cheapest or more; Prices are scattered widely around the typical price</t>
  </si>
  <si>
    <t xml:space="preserve">Cover Bumper
COVER, BUMPER AREA
COVER BUMPER AREA
COVER BUMPER</t>
  </si>
  <si>
    <t xml:space="preserve">2026-01-05-Allianz Insurance Singapore Pte. Ltd.-MERCEDES-BENZ-132.PDF
Min Ghee Auto Pte Ltd 8122844 (no scan)
2025-08-17-Allianz Insurance Singapore Pte. Ltd.-MERCEDES-BENZ-6.JPG
2025-10-15-AIG Asia Pacific Insurance Pte. Ltd.-MERCEDES-BENZ-49.PDF
2025-10-17-AIG Asia Pacific Insurance Pte. Ltd.-MERCEDES-BENZ-55.PDF</t>
  </si>
  <si>
    <t>The dearest price is 5 times the cheapest or more; Prices are scattered widely around the typical price; Headlamp: the example raised in the meeting</t>
  </si>
  <si>
    <t xml:space="preserve">HEADLAMP LH
HEADLAMP
HEADLAMP RH
HEADLAMP UNIT LH
HEADLAMP ASSY LH
HEADLAMP UNIT RH</t>
  </si>
  <si>
    <t xml:space="preserve">2025-10-08-AIG Asia Pacific Insurance Pte. Ltd.-TOYOTA-45.PDF
2025-11-24-Tokio Marine Insurance Singapore Ltd-TOYOTA-81.PDF
2025-09-17-AIG Asia Pacific Insurance Pte. Ltd.-TOYOTA-21.PDF
2025-10-27-AIG Asia Pacific Insurance Pte. Ltd.-TOYOTA-60.PDF
2026-02-23-Allianz Insurance Singapore Pte. Ltd.-TOYOTA-179.PDF
2026-01-15-Allianz Insurance Singapore Pte. Ltd.-TOYOTA-140.PDF
2026-01-14-HL Assurance Pte Ltd-TOYOTA-139.PDF
2025-10-21-HL Assurance Pte Ltd-TOYOTA-58.PDF
2026-01-21-HL Assurance Pte Ltd-TOYOTA-146.PDF
2025-11-22-AIG Asia Pacific Insurance Pte. Ltd.-LEXUS-80.PDF
2025-12-03-Allianz Insurance Singapore Pte. Ltd.-TOYOTA-101.PDF</t>
  </si>
  <si>
    <t xml:space="preserve">ASSEMBLY - FENDER SUPPORT - LEFT HAND
ASSEMBLY - FENDER - LEFT HAND</t>
  </si>
  <si>
    <t xml:space="preserve">2026-02-09-Allianz Insurance Singapore Pte. Ltd.-TESLA-155.PDF
2026-02-09-Allianz Insurance Singapore Pte. Ltd.-TESLA-169.PDF
2026-02-09-Allianz Insurance Singapore Pte. Ltd.-TESLA-173.JPG</t>
  </si>
  <si>
    <t xml:space="preserve">Mounting Rail
MOUNTING RAIL
MOUNTING RAIL FRT LH
MOUNTING RAIL FRT RH</t>
  </si>
  <si>
    <t xml:space="preserve">Min Ghee Auto Pte Ltd 8123192 (no scan)
2025-10-17-AIG Asia Pacific Insurance Pte. Ltd.-MERCEDES-BENZ-55.PDF
2026-01-07-Tokio Marine Insurance Singapore Ltd-MERCEDES-BENZ-135.PDF</t>
  </si>
  <si>
    <t>The dearest price is 5 times the cheapest or more</t>
  </si>
  <si>
    <t xml:space="preserve">Front Bumper Fog Lamp RH
Front Bumper Fog Lamp LH
Front Bumper Fog Lamp Connector LH
Front Bumper Fog Lamp Cover LH
Front Bumper Fog Lamp Cover RH</t>
  </si>
  <si>
    <t xml:space="preserve">Jae Auto Pte Ltd AR201805-00837 (no scan)
Jae Auto Pte Ltd AR201805-02365 (no scan)
Jae Auto Pte Ltd AR201805-03001 (no scan)
Jae Auto Pte Ltd AR201804-1417 (no scan)</t>
  </si>
  <si>
    <t xml:space="preserve">FR FENDER LH
FR FENDER RH
FRT FENDER LH
FRT FENDER RH</t>
  </si>
  <si>
    <t xml:space="preserve">2025-11-24-Tokio Marine Insurance Singapore Ltd-TOYOTA-81.PDF
2025-11-29-Allianz Insurance Singapore Pte. Ltd.-TOYOTA-84.PDF
2026-02-03-AIG Asia Pacific Insurance Pte. Ltd.-TOYOTA-152.PDF
2025-12-05-Tokio Marine Insurance Singapore Ltd-TOYOTA-106.PDF
2025-10-21-HL Assurance Pte Ltd-TOYOTA-58.PDF
2026-01-14-HL Assurance Pte Ltd-TOYOTA-139.PDF
2026-02-25-ECICS Limited-TOYOTA-181.PDF
2025-11-22-AIG Asia Pacific Insurance Pte. Ltd.-LEXUS-80.PDF
2026-01-21-HL Assurance Pte Ltd-TOYOTA-146.PDF</t>
  </si>
  <si>
    <t xml:space="preserve">FRT BUMPER GRILLE LH
FRT BUMPER LWR GRILLE</t>
  </si>
  <si>
    <t xml:space="preserve">2025-11-29-Allianz Insurance Singapore Pte. Ltd.-TOYOTA-91.PDF
2025-09-26-EQ Insurance Company Ltd-TOYOTA-26.PDF
2025-09-26-EQ Insurance Company Ltd-TOYOTA-29.PDF
2025-11-29-Allianz Insurance Singapore Pte. Ltd.-TOYOTA-90.PDF
2025-12-05-Tokio Marine Insurance Singapore Ltd-TOYOTA-106.PDF
2026-02-03-AIG Asia Pacific Insurance Pte. Ltd.-TOYOTA-152.PDF
2026-02-25-ECICS Limited-TOYOTA-181.PDF
2025-11-19-Tokio Marine Insurance Singapore Ltd-TOYOTA-74.PDF</t>
  </si>
  <si>
    <t>Prices are scattered widely around the typical price</t>
  </si>
  <si>
    <t xml:space="preserve">SUPPORT PANEL
SUPPORT PANEL 11"
SUPPORT PANEL TOP</t>
  </si>
  <si>
    <t xml:space="preserve">2026-02-02-AIG Asia Pacific Insurance Pte. Ltd.-TOYOTA-151.PDF
2025-11-29-Allianz Insurance Singapore Pte. Ltd.-TOYOTA-83.PDF
2025-11-18-AIG Asia Pacific Insurance Pte. Ltd.-TOYOTA-72.PDF
2026-02-03-AIG Asia Pacific Insurance Pte. Ltd.-TOYOTA-152.PDF
2025-12-05-Tokio Marine Insurance Singapore Ltd-TOYOTA-106.PDF
2026-01-21-HL Assurance Pte Ltd-TOYOTA-146.PDF</t>
  </si>
  <si>
    <t xml:space="preserve">CARRIER
ASSY. CARRIER, FRONT</t>
  </si>
  <si>
    <t xml:space="preserve">2025-08-17-Allianz Insurance Singapore Pte. Ltd.-MERCEDES-BENZ-6.JPG
2026-01-05-Allianz Insurance Singapore Pte. Ltd.-MERCEDES-BENZ-132.PDF</t>
  </si>
  <si>
    <t>Prices are scattered widely around the typical price; Headlamp: the example raised in the meeting</t>
  </si>
  <si>
    <t xml:space="preserve">Head Lamp RH 09" (TH)
HEAD LAMP RH
HEAD LAMP LH</t>
  </si>
  <si>
    <t xml:space="preserve">Jae Auto Pte Ltd AR201806-15561 (no scan)
2025-11-29-Allianz Insurance Singapore Pte. Ltd.-TOYOTA-83.PDF
2025-11-19-Tokio Marine Insurance Singapore Ltd-TOYOTA-74.PDF
2025-12-05-Tokio Marine Insurance Singapore Ltd-TOYOTA-106.PDF
2026-02-25-ECICS Limited-TOYOTA-181.PDF</t>
  </si>
  <si>
    <t xml:space="preserve">F/B LOWER GRILLE
F/B LOWER CENTRE GRILLE</t>
  </si>
  <si>
    <t xml:space="preserve">2025-09-17-AIG Asia Pacific Insurance Pte. Ltd.-TOYOTA-21.PDF
2025-11-24-Tokio Marine Insurance Singapore Ltd-TOYOTA-81.PDF
2026-02-12-AIG Asia Pacific Insurance Pte. Ltd.-TOYOTA-178.PDF
2025-10-27-AIG Asia Pacific Insurance Pte. Ltd.-TOYOTA-60.PDF</t>
  </si>
  <si>
    <t>Comparison group: prices fairly close together, so it should be the same part</t>
  </si>
  <si>
    <t xml:space="preserve">BRACKET- FASCIA FRT CTR TO FDR LH
BRACKET- FASCIA FRT CTR TO FDR RH
BRACKET - FASCIA SIDE TO FDR LH
BRACKET-FASCIA FRT CTR TO FDR LH</t>
  </si>
  <si>
    <t xml:space="preserve">2026-02-09-Allianz Insurance Singapore Pte. Ltd.-TESLA-155.PDF
2026-02-09-Allianz Insurance Singapore Pte. Ltd.-TESLA-158.JPG
2026-02-09-Allianz Insurance Singapore Pte. Ltd.-TESLA-173.JPG
2025-12-02-Allianz Insurance Singapore Pte. Ltd.-TESLA-94.PDF
2025-12-02-Allianz Insurance Singapore Pte. Ltd.-TESLA-95.PDF
2026-02-09-Allianz Insurance Singapore Pte. Ltd.-TESLA-156.PDF</t>
  </si>
  <si>
    <t xml:space="preserve">FRT BONNET
BONNET</t>
  </si>
  <si>
    <t xml:space="preserve">2026-02-12-AIG Asia Pacific Insurance Pte. Ltd.-TOYOTA-178.PDF
2025-11-29-Allianz Insurance Singapore Pte. Ltd.-TOYOTA-83.PDF
2025-09-26-EQ Insurance Company Ltd-TOYOTA-27.PDF
2025-12-05-Tokio Marine Insurance Singapore Ltd-TOYOTA-106.PDF
2026-01-21-HL Assurance Pte Ltd-TOYOTA-146.PDF
2026-02-02-AIG Asia Pacific Insurance Pte. Ltd.-TOYOTA-151.PDF
2026-01-15-Allianz Insurance Singapore Pte. Ltd.-TOYOTA-140.PDF
2025-11-19-Tokio Marine Insurance Singapore Ltd-TOYOTA-75.PDF</t>
  </si>
  <si>
    <t xml:space="preserve">MERCEDES STAR(GRILLE)
MERCEDES STAR
MERCEDES STAR GRILLE</t>
  </si>
  <si>
    <t xml:space="preserve">2026-01-05-Allianz Insurance Singapore Pte. Ltd.-MERCEDES-BENZ-131.PDF
2025-08-17-Allianz Insurance Singapore Pte. Ltd.-MERCEDES-BENZ-6.JPG
2025-10-21-AIG Asia Pacific Insurance Pte. Ltd.-MERCEDES-BENZ-57.PDF
2026-01-07-Tokio Marine Insurance Singapore Ltd-MERCEDES-BENZ-135.PDF</t>
  </si>
  <si>
    <t xml:space="preserve">2025-11-29-Allianz Insurance Singapore Pte. Ltd.-TOYOTA-88.PDF
2026-01-15-Allianz Insurance Singapore Pte. Ltd.-TOYOTA-140.PDF
2025-05-20-Allianz Insurance Singapore Pte. Ltd.-TOYOTA-1.PDF
2025-12-05-Tokio Marine Insurance Singapore Ltd-TOYOTA-106.PDF</t>
  </si>
  <si>
    <t xml:space="preserve">Hood
HOOD</t>
  </si>
  <si>
    <t xml:space="preserve">2025-08-17-Allianz Insurance Singapore Pte. Ltd.-MERCEDES-BENZ-6.JPG
Min Ghee Auto Pte Ltd 8122844 (no scan)
2026-01-05-Allianz Insurance Singapore Pte. Ltd.-MERCEDES-BENZ-132.PDF
2025-10-17-AIG Asia Pacific Insurance Pte. Ltd.-MERCEDES-BENZ-55.PDF</t>
  </si>
  <si>
    <t>Progress</t>
  </si>
  <si>
    <t>Lines with a reason picked</t>
  </si>
  <si>
    <t>Groups with a verdict</t>
  </si>
  <si>
    <t>Why do the prices differ?  (one row per reason)</t>
  </si>
  <si>
    <t>Reason</t>
  </si>
  <si>
    <t>Wide-range groups</t>
  </si>
  <si>
    <t>Share</t>
  </si>
  <si>
    <t>Comparison groups</t>
  </si>
  <si>
    <t>What it means</t>
  </si>
  <si>
    <t>Total answered</t>
  </si>
  <si>
    <t>The answer</t>
  </si>
  <si>
    <t>Lines that are genuinely the same part</t>
  </si>
  <si>
    <t>Out of the lines answered in the wide-range groups.</t>
  </si>
  <si>
    <t>Lines that are a different part or for a different car</t>
  </si>
  <si>
    <t>Smaller piece, different car, different position, different quality, or pair/set.</t>
  </si>
  <si>
    <t>Lines with a reading mistake on our record</t>
  </si>
  <si>
    <t>These should be corrected in the reference whatever the conclusion.</t>
  </si>
  <si>
    <t>In plain words</t>
  </si>
  <si>
    <t>Comparison groups check</t>
  </si>
  <si>
    <t>Groups it appears in</t>
  </si>
  <si>
    <t>Lines in this check</t>
  </si>
  <si>
    <t>C01, C09, C14, C16</t>
  </si>
  <si>
    <t>C02, C11</t>
  </si>
  <si>
    <t>C01, C04, C16</t>
  </si>
  <si>
    <t>C02, C06</t>
  </si>
  <si>
    <t>C07, C10</t>
  </si>
  <si>
    <t>C02, C06, C11</t>
  </si>
  <si>
    <t>C08, C10, C13</t>
  </si>
  <si>
    <t>C06, C07, C08, C10, C13, C15</t>
  </si>
  <si>
    <t>C01, C09, C16</t>
  </si>
  <si>
    <t>C04, C14</t>
  </si>
  <si>
    <t>C02, C13, C15</t>
  </si>
  <si>
    <t>C02, C06, C08, C13</t>
  </si>
  <si>
    <t>C08, C13</t>
  </si>
  <si>
    <t>C06, C07, C08</t>
  </si>
  <si>
    <t>C03, C12</t>
  </si>
  <si>
    <t>C11, C13</t>
  </si>
  <si>
    <t>C06, C07, C10</t>
  </si>
  <si>
    <t>C01, C16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</si>
</sst>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1F2937"/>
      <sz val="18"/>
    </font>
    <font>
      <color rgb="FF6B7280"/>
      <sz val="11"/>
    </font>
    <font>
      <b/>
      <color rgb="FF1F2937"/>
      <sz val="13"/>
    </font>
    <font>
      <color rgb="FF1F2937"/>
      <sz val="11"/>
    </font>
    <font>
      <b/>
    </font>
    <font>
      <color rgb="FF9A3412"/>
      <sz val="11"/>
    </font>
    <font>
      <b/>
      <color rgb="FFFFFFFF"/>
    </font>
    <font>
      <name val="Consolas"/>
    </font>
    <font>
      <u/>
      <color rgb="FF0563C1"/>
    </font>
    <font>
      <i/>
      <color rgb="FF6B7280"/>
    </font>
    <font>
      <b/>
      <color rgb="FF0F4C5C"/>
      <sz val="13"/>
    </font>
  </fonts>
  <fills count="8">
    <fill>
      <patternFill patternType="none"/>
    </fill>
    <fill>
      <patternFill patternType="gray125"/>
    </fill>
    <fill>
      <patternFill patternType="solid">
        <fgColor rgb="FFF3F6F8"/>
      </patternFill>
    </fill>
    <fill>
      <patternFill patternType="solid">
        <fgColor rgb="FF0F4C5C"/>
      </patternFill>
    </fill>
    <fill>
      <patternFill patternType="solid">
        <fgColor rgb="FFB45309"/>
      </patternFill>
    </fill>
    <fill>
      <patternFill patternType="solid">
        <fgColor rgb="FFFDECEA"/>
      </patternFill>
    </fill>
    <fill>
      <patternFill patternType="solid">
        <fgColor rgb="FFFFF4CC"/>
      </patternFill>
    </fill>
    <fill>
      <patternFill patternType="solid">
        <fgColor rgb="FFE3F4E8"/>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xf numFmtId="0" fontId="5" fillId="0" borderId="0" xfId="0" applyFont="1" applyAlignment="1">
      <alignment vertical="top"/>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0" fillId="5" borderId="1" xfId="0"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0" fillId="6" borderId="1" xfId="0" applyFill="1" applyBorder="1" applyAlignment="1">
      <alignment vertical="top" wrapText="1"/>
    </xf>
    <xf numFmtId="0" fontId="10" fillId="0" borderId="1" xfId="0" applyFont="1" applyBorder="1" applyAlignment="1">
      <alignment vertical="top" wrapText="1"/>
    </xf>
    <xf numFmtId="0" fontId="0" fillId="7" borderId="1" xfId="0" applyFill="1" applyBorder="1" applyAlignment="1">
      <alignment vertical="top" wrapText="1"/>
    </xf>
    <xf numFmtId="0" fontId="11" fillId="0" borderId="0" xfId="0" applyFont="1"/>
    <xf numFmtId="0" fontId="7" fillId="3" borderId="1" xfId="0" applyFont="1" applyFill="1" applyBorder="1" applyAlignment="1">
      <alignment wrapText="1"/>
    </xf>
    <xf numFmtId="9" fontId="0" fillId="0" borderId="1" xfId="0" applyNumberFormat="1" applyBorder="1" applyAlignment="1">
      <alignment vertical="top" wrapText="1"/>
    </xf>
    <xf numFmtId="9" fontId="0" fillId="7"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file:///home/jason/mm-parts-index/invoices/2026-01-05-Allianz%20Insurance%20Singapore%20Pte.%20Ltd.-MERCEDES-BENZ-132.PDF" TargetMode="External"/><Relationship Id="rId2" Type="http://schemas.openxmlformats.org/officeDocument/2006/relationships/hyperlink" Target="https://www.google.com/search?q=MBA000%20991%2036%2004%20Mercedes-Benz" TargetMode="External"/><Relationship Id="rId3" Type="http://schemas.openxmlformats.org/officeDocument/2006/relationships/hyperlink" Target="https://www.google.com/search?q=MBA213%20885%2016%2000%20Mercedes-Benz" TargetMode="External"/><Relationship Id="rId4" Type="http://schemas.openxmlformats.org/officeDocument/2006/relationships/hyperlink" Target="file:///home/jason/mm-parts-index/invoices/2025-08-17-Allianz%20Insurance%20Singapore%20Pte.%20Ltd.-MERCEDES-BENZ-6.JPG" TargetMode="External"/><Relationship Id="rId5" Type="http://schemas.openxmlformats.org/officeDocument/2006/relationships/hyperlink" Target="https://www.google.com/search?q=MBA156%20880%2041%2000%20Mercedes-Benz" TargetMode="External"/><Relationship Id="rId6" Type="http://schemas.openxmlformats.org/officeDocument/2006/relationships/hyperlink" Target="file:///home/jason/mm-parts-index/invoices/2025-10-15-AIG%20Asia%20Pacific%20Insurance%20Pte.%20Ltd.-MERCEDES-BENZ-49.PDF" TargetMode="External"/><Relationship Id="rId7" Type="http://schemas.openxmlformats.org/officeDocument/2006/relationships/hyperlink" Target="https://www.google.com/search?q=MBA205%20885%2031%2023%20Mercedes-Benz" TargetMode="External"/><Relationship Id="rId8" Type="http://schemas.openxmlformats.org/officeDocument/2006/relationships/hyperlink" Target="file:///home/jason/mm-parts-index/invoices/2026-01-05-Allianz%20Insurance%20Singapore%20Pte.%20Ltd.-MERCEDES-BENZ-132.PDF" TargetMode="External"/><Relationship Id="rId9" Type="http://schemas.openxmlformats.org/officeDocument/2006/relationships/hyperlink" Target="https://www.google.com/search?q=MBA003%20990%2094%2097%2FCUPPED%20BLIND%20RI%20Mercedes-Benz" TargetMode="External"/><Relationship Id="rId10" Type="http://schemas.openxmlformats.org/officeDocument/2006/relationships/hyperlink" Target="file:///home/jason/mm-parts-index/invoices/2025-10-17-AIG%20Asia%20Pacific%20Insurance%20Pte.%20Ltd.-MERCEDES-BENZ-55.PDF" TargetMode="External"/><Relationship Id="rId11" Type="http://schemas.openxmlformats.org/officeDocument/2006/relationships/hyperlink" Target="https://www.google.com/search?q=MBA253%20885%2005%2022%20Mercedes-Benz" TargetMode="External"/><Relationship Id="rId12" Type="http://schemas.openxmlformats.org/officeDocument/2006/relationships/hyperlink" Target="file:///home/jason/mm-parts-index/invoices/2025-08-17-Allianz%20Insurance%20Singapore%20Pte.%20Ltd.-MERCEDES-BENZ-6.JPG" TargetMode="External"/><Relationship Id="rId13" Type="http://schemas.openxmlformats.org/officeDocument/2006/relationships/hyperlink" Target="https://www.google.com/search?q=MBA156%20880%2046%2000%20Mercedes-Benz" TargetMode="External"/><Relationship Id="rId14" Type="http://schemas.openxmlformats.org/officeDocument/2006/relationships/hyperlink" Target="file:///home/jason/mm-parts-index/invoices/2025-10-08-AIG%20Asia%20Pacific%20Insurance%20Pte.%20Ltd.-TOYOTA-45.PDF" TargetMode="External"/><Relationship Id="rId15" Type="http://schemas.openxmlformats.org/officeDocument/2006/relationships/hyperlink" Target="https://www.google.com/search?q=T81130-37203R%20Toyota" TargetMode="External"/><Relationship Id="rId16" Type="http://schemas.openxmlformats.org/officeDocument/2006/relationships/hyperlink" Target="file:///home/jason/mm-parts-index/invoices/2025-10-08-AIG%20Asia%20Pacific%20Insurance%20Pte.%20Ltd.-TOYOTA-45.PDF" TargetMode="External"/><Relationship Id="rId17" Type="http://schemas.openxmlformats.org/officeDocument/2006/relationships/hyperlink" Target="https://www.google.com/search?q=T81170-37203R%20Toyota" TargetMode="External"/><Relationship Id="rId18" Type="http://schemas.openxmlformats.org/officeDocument/2006/relationships/hyperlink" Target="file:///home/jason/mm-parts-index/invoices/2025-11-24-Tokio%20Marine%20Insurance%20Singapore%20Ltd-TOYOTA-81.PDF" TargetMode="External"/><Relationship Id="rId19" Type="http://schemas.openxmlformats.org/officeDocument/2006/relationships/hyperlink" Target="https://www.google.com/search?q=ZZT81130-0L010%20Toyota" TargetMode="External"/><Relationship Id="rId20" Type="http://schemas.openxmlformats.org/officeDocument/2006/relationships/hyperlink" Target="file:///home/jason/mm-parts-index/invoices/2025-09-17-AIG%20Asia%20Pacific%20Insurance%20Pte.%20Ltd.-TOYOTA-21.PDF" TargetMode="External"/><Relationship Id="rId21" Type="http://schemas.openxmlformats.org/officeDocument/2006/relationships/hyperlink" Target="https://www.google.com/search?q=ZZT81170-02F31%20Toyota" TargetMode="External"/><Relationship Id="rId22" Type="http://schemas.openxmlformats.org/officeDocument/2006/relationships/hyperlink" Target="file:///home/jason/mm-parts-index/invoices/2025-09-17-AIG%20Asia%20Pacific%20Insurance%20Pte.%20Ltd.-TOYOTA-21.PDF" TargetMode="External"/><Relationship Id="rId23" Type="http://schemas.openxmlformats.org/officeDocument/2006/relationships/hyperlink" Target="https://www.google.com/search?q=T81130-37660%20Toyota" TargetMode="External"/><Relationship Id="rId24" Type="http://schemas.openxmlformats.org/officeDocument/2006/relationships/hyperlink" Target="file:///home/jason/mm-parts-index/invoices/2025-10-27-AIG%20Asia%20Pacific%20Insurance%20Pte.%20Ltd.-TOYOTA-60.PDF" TargetMode="External"/><Relationship Id="rId25" Type="http://schemas.openxmlformats.org/officeDocument/2006/relationships/hyperlink" Target="https://www.google.com/search?q=ZZT81185-06d50%20Toyota" TargetMode="External"/><Relationship Id="rId26" Type="http://schemas.openxmlformats.org/officeDocument/2006/relationships/hyperlink" Target="file:///home/jason/mm-parts-index/invoices/2026-02-23-Allianz%20Insurance%20Singapore%20Pte.%20Ltd.-TOYOTA-179.PDF" TargetMode="External"/><Relationship Id="rId27" Type="http://schemas.openxmlformats.org/officeDocument/2006/relationships/hyperlink" Target="https://www.google.com/search?q=T81130-37660%20Toyota" TargetMode="External"/><Relationship Id="rId28" Type="http://schemas.openxmlformats.org/officeDocument/2006/relationships/hyperlink" Target="file:///home/jason/mm-parts-index/invoices/2026-01-15-Allianz%20Insurance%20Singapore%20Pte.%20Ltd.-TOYOTA-140.PDF" TargetMode="External"/><Relationship Id="rId29" Type="http://schemas.openxmlformats.org/officeDocument/2006/relationships/hyperlink" Target="https://www.google.com/search?q=T81130-12J70%20Toyota" TargetMode="External"/><Relationship Id="rId30" Type="http://schemas.openxmlformats.org/officeDocument/2006/relationships/hyperlink" Target="file:///home/jason/mm-parts-index/invoices/2026-01-15-Allianz%20Insurance%20Singapore%20Pte.%20Ltd.-TOYOTA-140.PDF" TargetMode="External"/><Relationship Id="rId31" Type="http://schemas.openxmlformats.org/officeDocument/2006/relationships/hyperlink" Target="https://www.google.com/search?q=T81170-12J70%20Toyota" TargetMode="External"/><Relationship Id="rId32" Type="http://schemas.openxmlformats.org/officeDocument/2006/relationships/hyperlink" Target="file:///home/jason/mm-parts-index/invoices/2026-01-14-HL%20Assurance%20Pte%20Ltd-TOYOTA-139.PDF" TargetMode="External"/><Relationship Id="rId33" Type="http://schemas.openxmlformats.org/officeDocument/2006/relationships/hyperlink" Target="https://www.google.com/search?q=T81150-B1431%20Toyota" TargetMode="External"/><Relationship Id="rId34" Type="http://schemas.openxmlformats.org/officeDocument/2006/relationships/hyperlink" Target="file:///home/jason/mm-parts-index/invoices/2025-10-21-HL%20Assurance%20Pte%20Ltd-TOYOTA-58.PDF" TargetMode="External"/><Relationship Id="rId35" Type="http://schemas.openxmlformats.org/officeDocument/2006/relationships/hyperlink" Target="https://www.google.com/search?q=T81170-52K30%20Toyota" TargetMode="External"/><Relationship Id="rId36" Type="http://schemas.openxmlformats.org/officeDocument/2006/relationships/hyperlink" Target="file:///home/jason/mm-parts-index/invoices/2026-01-21-HL%20Assurance%20Pte%20Ltd-TOYOTA-146.PDF" TargetMode="External"/><Relationship Id="rId37" Type="http://schemas.openxmlformats.org/officeDocument/2006/relationships/hyperlink" Target="https://www.google.com/search?q=T81130-28G40%20Toyota" TargetMode="External"/><Relationship Id="rId38" Type="http://schemas.openxmlformats.org/officeDocument/2006/relationships/hyperlink" Target="file:///home/jason/mm-parts-index/invoices/2025-11-22-AIG%20Asia%20Pacific%20Insurance%20Pte.%20Ltd.-LEXUS-80.PDF" TargetMode="External"/><Relationship Id="rId39" Type="http://schemas.openxmlformats.org/officeDocument/2006/relationships/hyperlink" Target="https://www.google.com/search?q=T81145-78170%20Toyota" TargetMode="External"/><Relationship Id="rId40" Type="http://schemas.openxmlformats.org/officeDocument/2006/relationships/hyperlink" Target="file:///home/jason/mm-parts-index/invoices/2025-12-03-Allianz%20Insurance%20Singapore%20Pte.%20Ltd.-TOYOTA-101.PDF" TargetMode="External"/><Relationship Id="rId41" Type="http://schemas.openxmlformats.org/officeDocument/2006/relationships/hyperlink" Target="https://www.google.com/search?q=TY81185-48F60%20Toyota" TargetMode="External"/><Relationship Id="rId42" Type="http://schemas.openxmlformats.org/officeDocument/2006/relationships/hyperlink" Target="file:///home/jason/mm-parts-index/invoices/2026-02-09-Allianz%20Insurance%20Singapore%20Pte.%20Ltd.-TESLA-155.PDF" TargetMode="External"/><Relationship Id="rId43" Type="http://schemas.openxmlformats.org/officeDocument/2006/relationships/hyperlink" Target="https://www.google.com/search?q=1771986-SC-C%20Tesla" TargetMode="External"/><Relationship Id="rId44" Type="http://schemas.openxmlformats.org/officeDocument/2006/relationships/hyperlink" Target="file:///home/jason/mm-parts-index/invoices/2026-02-09-Allianz%20Insurance%20Singapore%20Pte.%20Ltd.-TESLA-169.PDF" TargetMode="External"/><Relationship Id="rId45" Type="http://schemas.openxmlformats.org/officeDocument/2006/relationships/hyperlink" Target="https://www.google.com/search?q=1771936-SC-C%20Tesla" TargetMode="External"/><Relationship Id="rId46" Type="http://schemas.openxmlformats.org/officeDocument/2006/relationships/hyperlink" Target="file:///home/jason/mm-parts-index/invoices/2026-02-09-Allianz%20Insurance%20Singapore%20Pte.%20Ltd.-TESLA-173.JPG" TargetMode="External"/><Relationship Id="rId47" Type="http://schemas.openxmlformats.org/officeDocument/2006/relationships/hyperlink" Target="https://www.google.com/search?q=1771936-SC-C%20Tesla" TargetMode="External"/><Relationship Id="rId48" Type="http://schemas.openxmlformats.org/officeDocument/2006/relationships/hyperlink" Target="file:///home/jason/mm-parts-index/invoices/2026-02-09-Allianz%20Insurance%20Singapore%20Pte.%20Ltd.-TESLA-155.PDF" TargetMode="External"/><Relationship Id="rId49" Type="http://schemas.openxmlformats.org/officeDocument/2006/relationships/hyperlink" Target="https://www.google.com/search?q=1714884-EC-D%20Tesla" TargetMode="External"/><Relationship Id="rId50" Type="http://schemas.openxmlformats.org/officeDocument/2006/relationships/hyperlink" Target="file:///home/jason/mm-parts-index/invoices/2026-02-09-Allianz%20Insurance%20Singapore%20Pte.%20Ltd.-TESLA-169.PDF" TargetMode="External"/><Relationship Id="rId51" Type="http://schemas.openxmlformats.org/officeDocument/2006/relationships/hyperlink" Target="https://www.google.com/search?q=1714884-EC-D%20Tesla" TargetMode="External"/><Relationship Id="rId52" Type="http://schemas.openxmlformats.org/officeDocument/2006/relationships/hyperlink" Target="file:///home/jason/mm-parts-index/invoices/2026-02-09-Allianz%20Insurance%20Singapore%20Pte.%20Ltd.-TESLA-173.JPG" TargetMode="External"/><Relationship Id="rId53" Type="http://schemas.openxmlformats.org/officeDocument/2006/relationships/hyperlink" Target="https://www.google.com/search?q=1714884-EC-D%20Tesla" TargetMode="External"/><Relationship Id="rId54" Type="http://schemas.openxmlformats.org/officeDocument/2006/relationships/hyperlink" Target="file:///home/jason/mm-parts-index/invoices/2026-02-09-Allianz%20Insurance%20Singapore%20Pte.%20Ltd.-TESLA-173.JPG" TargetMode="External"/><Relationship Id="rId55" Type="http://schemas.openxmlformats.org/officeDocument/2006/relationships/hyperlink" Target="https://www.google.com/search?q=1714884-EC-D%20Tesla" TargetMode="External"/><Relationship Id="rId56" Type="http://schemas.openxmlformats.org/officeDocument/2006/relationships/hyperlink" Target="https://www.google.com/search?q=MBA213%20885%2006%2021%20Mercedes-Benz" TargetMode="External"/><Relationship Id="rId57" Type="http://schemas.openxmlformats.org/officeDocument/2006/relationships/hyperlink" Target="file:///home/jason/mm-parts-index/invoices/2025-10-17-AIG%20Asia%20Pacific%20Insurance%20Pte.%20Ltd.-MERCEDES-BENZ-55.PDF" TargetMode="External"/><Relationship Id="rId58" Type="http://schemas.openxmlformats.org/officeDocument/2006/relationships/hyperlink" Target="https://www.google.com/search?q=MBA253%20885%2067%2001%20Mercedes-Benz" TargetMode="External"/><Relationship Id="rId59" Type="http://schemas.openxmlformats.org/officeDocument/2006/relationships/hyperlink" Target="file:///home/jason/mm-parts-index/invoices/2026-01-07-Tokio%20Marine%20Insurance%20Singapore%20Ltd-MERCEDES-BENZ-135.PDF" TargetMode="External"/><Relationship Id="rId60" Type="http://schemas.openxmlformats.org/officeDocument/2006/relationships/hyperlink" Target="https://www.google.com/search?q=A4478800612%20Mercedes-Benz" TargetMode="External"/><Relationship Id="rId61" Type="http://schemas.openxmlformats.org/officeDocument/2006/relationships/hyperlink" Target="file:///home/jason/mm-parts-index/invoices/2026-01-07-Tokio%20Marine%20Insurance%20Singapore%20Ltd-MERCEDES-BENZ-135.PDF" TargetMode="External"/><Relationship Id="rId62" Type="http://schemas.openxmlformats.org/officeDocument/2006/relationships/hyperlink" Target="https://www.google.com/search?q=A4478800712%20Mercedes-Benz" TargetMode="External"/><Relationship Id="rId63" Type="http://schemas.openxmlformats.org/officeDocument/2006/relationships/hyperlink" Target="https://www.google.com/search?q=3D0941165A%20Audi" TargetMode="External"/><Relationship Id="rId64" Type="http://schemas.openxmlformats.org/officeDocument/2006/relationships/hyperlink" Target="https://www.google.com/search?q=8T0941700B%20Audi" TargetMode="External"/><Relationship Id="rId65" Type="http://schemas.openxmlformats.org/officeDocument/2006/relationships/hyperlink" Target="https://www.google.com/search?q=8T0941699B%20Audi" TargetMode="External"/><Relationship Id="rId66" Type="http://schemas.openxmlformats.org/officeDocument/2006/relationships/hyperlink" Target="https://www.google.com/search?q=8R0807681M%20BJI%20Audi" TargetMode="External"/><Relationship Id="rId67" Type="http://schemas.openxmlformats.org/officeDocument/2006/relationships/hyperlink" Target="https://www.google.com/search?q=8R0807682J%20BJI%20Audi" TargetMode="External"/><Relationship Id="rId68" Type="http://schemas.openxmlformats.org/officeDocument/2006/relationships/hyperlink" Target="file:///home/jason/mm-parts-index/invoices/2025-11-24-Tokio%20Marine%20Insurance%20Singapore%20Ltd-TOYOTA-81.PDF" TargetMode="External"/><Relationship Id="rId69" Type="http://schemas.openxmlformats.org/officeDocument/2006/relationships/hyperlink" Target="https://www.google.com/search?q=ZZT53801-26011%20Toyota" TargetMode="External"/><Relationship Id="rId70" Type="http://schemas.openxmlformats.org/officeDocument/2006/relationships/hyperlink" Target="file:///home/jason/mm-parts-index/invoices/2025-11-29-Allianz%20Insurance%20Singapore%20Pte.%20Ltd.-TOYOTA-84.PDF" TargetMode="External"/><Relationship Id="rId71" Type="http://schemas.openxmlformats.org/officeDocument/2006/relationships/hyperlink" Target="https://www.google.com/search?q=53802-26031%20Toyota" TargetMode="External"/><Relationship Id="rId72" Type="http://schemas.openxmlformats.org/officeDocument/2006/relationships/hyperlink" Target="file:///home/jason/mm-parts-index/invoices/2026-02-03-AIG%20Asia%20Pacific%20Insurance%20Pte.%20Ltd.-TOYOTA-152.PDF" TargetMode="External"/><Relationship Id="rId73" Type="http://schemas.openxmlformats.org/officeDocument/2006/relationships/hyperlink" Target="https://www.google.com/search?q=T53802-26021%20Toyota" TargetMode="External"/><Relationship Id="rId74" Type="http://schemas.openxmlformats.org/officeDocument/2006/relationships/hyperlink" Target="file:///home/jason/mm-parts-index/invoices/2025-12-05-Tokio%20Marine%20Insurance%20Singapore%20Ltd-TOYOTA-106.PDF" TargetMode="External"/><Relationship Id="rId75" Type="http://schemas.openxmlformats.org/officeDocument/2006/relationships/hyperlink" Target="https://www.google.com/search?q=T53802-26021%20Toyota" TargetMode="External"/><Relationship Id="rId76" Type="http://schemas.openxmlformats.org/officeDocument/2006/relationships/hyperlink" Target="file:///home/jason/mm-parts-index/invoices/2025-10-21-HL%20Assurance%20Pte%20Ltd-TOYOTA-58.PDF" TargetMode="External"/><Relationship Id="rId77" Type="http://schemas.openxmlformats.org/officeDocument/2006/relationships/hyperlink" Target="https://www.google.com/search?q=T53812-0D220%20Toyota" TargetMode="External"/><Relationship Id="rId78" Type="http://schemas.openxmlformats.org/officeDocument/2006/relationships/hyperlink" Target="file:///home/jason/mm-parts-index/invoices/2026-01-14-HL%20Assurance%20Pte%20Ltd-TOYOTA-139.PDF" TargetMode="External"/><Relationship Id="rId79" Type="http://schemas.openxmlformats.org/officeDocument/2006/relationships/hyperlink" Target="https://www.google.com/search?q=T53812-B1320%20Toyota" TargetMode="External"/><Relationship Id="rId80" Type="http://schemas.openxmlformats.org/officeDocument/2006/relationships/hyperlink" Target="file:///home/jason/mm-parts-index/invoices/2026-02-25-ECICS%20Limited-TOYOTA-181.PDF" TargetMode="External"/><Relationship Id="rId81" Type="http://schemas.openxmlformats.org/officeDocument/2006/relationships/hyperlink" Target="https://www.google.com/search?q=T53811-48210%20Toyota" TargetMode="External"/><Relationship Id="rId82" Type="http://schemas.openxmlformats.org/officeDocument/2006/relationships/hyperlink" Target="file:///home/jason/mm-parts-index/invoices/2025-11-22-AIG%20Asia%20Pacific%20Insurance%20Pte.%20Ltd.-LEXUS-80.PDF" TargetMode="External"/><Relationship Id="rId83" Type="http://schemas.openxmlformats.org/officeDocument/2006/relationships/hyperlink" Target="https://www.google.com/search?q=T53811-78010%20Toyota" TargetMode="External"/><Relationship Id="rId84" Type="http://schemas.openxmlformats.org/officeDocument/2006/relationships/hyperlink" Target="file:///home/jason/mm-parts-index/invoices/2026-01-21-HL%20Assurance%20Pte%20Ltd-TOYOTA-146.PDF" TargetMode="External"/><Relationship Id="rId85" Type="http://schemas.openxmlformats.org/officeDocument/2006/relationships/hyperlink" Target="https://www.google.com/search?q=T53811-28180%20Toyota" TargetMode="External"/><Relationship Id="rId86" Type="http://schemas.openxmlformats.org/officeDocument/2006/relationships/hyperlink" Target="file:///home/jason/mm-parts-index/invoices/2025-11-29-Allianz%20Insurance%20Singapore%20Pte.%20Ltd.-TOYOTA-91.PDF" TargetMode="External"/><Relationship Id="rId87" Type="http://schemas.openxmlformats.org/officeDocument/2006/relationships/hyperlink" Target="https://www.google.com/search?q=T53113-26060%20Toyota" TargetMode="External"/><Relationship Id="rId88" Type="http://schemas.openxmlformats.org/officeDocument/2006/relationships/hyperlink" Target="file:///home/jason/mm-parts-index/invoices/2025-09-26-EQ%20Insurance%20Company%20Ltd-TOYOTA-26.PDF" TargetMode="External"/><Relationship Id="rId89" Type="http://schemas.openxmlformats.org/officeDocument/2006/relationships/hyperlink" Target="https://www.google.com/search?q=T53113-26060%20Toyota" TargetMode="External"/><Relationship Id="rId90" Type="http://schemas.openxmlformats.org/officeDocument/2006/relationships/hyperlink" Target="file:///home/jason/mm-parts-index/invoices/2025-09-26-EQ%20Insurance%20Company%20Ltd-TOYOTA-29.PDF" TargetMode="External"/><Relationship Id="rId91" Type="http://schemas.openxmlformats.org/officeDocument/2006/relationships/hyperlink" Target="https://www.google.com/search?q=T53112-26070%20Toyota" TargetMode="External"/><Relationship Id="rId92" Type="http://schemas.openxmlformats.org/officeDocument/2006/relationships/hyperlink" Target="file:///home/jason/mm-parts-index/invoices/2025-11-29-Allianz%20Insurance%20Singapore%20Pte.%20Ltd.-TOYOTA-90.PDF" TargetMode="External"/><Relationship Id="rId93" Type="http://schemas.openxmlformats.org/officeDocument/2006/relationships/hyperlink" Target="https://www.google.com/search?q=T53112-26070%20Toyota" TargetMode="External"/><Relationship Id="rId94" Type="http://schemas.openxmlformats.org/officeDocument/2006/relationships/hyperlink" Target="file:///home/jason/mm-parts-index/invoices/2025-12-05-Tokio%20Marine%20Insurance%20Singapore%20Ltd-TOYOTA-106.PDF" TargetMode="External"/><Relationship Id="rId95" Type="http://schemas.openxmlformats.org/officeDocument/2006/relationships/hyperlink" Target="https://www.google.com/search?q=T53112-26070%20Toyota" TargetMode="External"/><Relationship Id="rId96" Type="http://schemas.openxmlformats.org/officeDocument/2006/relationships/hyperlink" Target="file:///home/jason/mm-parts-index/invoices/2026-02-03-AIG%20Asia%20Pacific%20Insurance%20Pte.%20Ltd.-TOYOTA-152.PDF" TargetMode="External"/><Relationship Id="rId97" Type="http://schemas.openxmlformats.org/officeDocument/2006/relationships/hyperlink" Target="https://www.google.com/search?q=T53112-26070%20Toyota" TargetMode="External"/><Relationship Id="rId98" Type="http://schemas.openxmlformats.org/officeDocument/2006/relationships/hyperlink" Target="file:///home/jason/mm-parts-index/invoices/2026-02-25-ECICS%20Limited-TOYOTA-181.PDF" TargetMode="External"/><Relationship Id="rId99" Type="http://schemas.openxmlformats.org/officeDocument/2006/relationships/hyperlink" Target="https://www.google.com/search?q=T53112-48150%20Toyota" TargetMode="External"/><Relationship Id="rId100" Type="http://schemas.openxmlformats.org/officeDocument/2006/relationships/hyperlink" Target="file:///home/jason/mm-parts-index/invoices/2025-11-19-Tokio%20Marine%20Insurance%20Singapore%20Ltd-TOYOTA-74.PDF" TargetMode="External"/><Relationship Id="rId101" Type="http://schemas.openxmlformats.org/officeDocument/2006/relationships/hyperlink" Target="https://www.google.com/search?q=T53112-0D540%20Toyota" TargetMode="External"/><Relationship Id="rId102" Type="http://schemas.openxmlformats.org/officeDocument/2006/relationships/hyperlink" Target="file:///home/jason/mm-parts-index/invoices/2026-02-02-AIG%20Asia%20Pacific%20Insurance%20Pte.%20Ltd.-TOYOTA-151.PDF" TargetMode="External"/><Relationship Id="rId103" Type="http://schemas.openxmlformats.org/officeDocument/2006/relationships/hyperlink" Target="https://www.google.com/search?q=T53216-06170%20Toyota" TargetMode="External"/><Relationship Id="rId104" Type="http://schemas.openxmlformats.org/officeDocument/2006/relationships/hyperlink" Target="file:///home/jason/mm-parts-index/invoices/2025-11-29-Allianz%20Insurance%20Singapore%20Pte.%20Ltd.-TOYOTA-83.PDF" TargetMode="External"/><Relationship Id="rId105" Type="http://schemas.openxmlformats.org/officeDocument/2006/relationships/hyperlink" Target="https://www.google.com/search?q=T53201-26082%20KDH201%20Toyota" TargetMode="External"/><Relationship Id="rId106" Type="http://schemas.openxmlformats.org/officeDocument/2006/relationships/hyperlink" Target="file:///home/jason/mm-parts-index/invoices/2025-11-18-AIG%20Asia%20Pacific%20Insurance%20Pte.%20Ltd.-TOYOTA-72.PDF" TargetMode="External"/><Relationship Id="rId107" Type="http://schemas.openxmlformats.org/officeDocument/2006/relationships/hyperlink" Target="https://www.google.com/search?q=T53201-26082%20Toyota" TargetMode="External"/><Relationship Id="rId108" Type="http://schemas.openxmlformats.org/officeDocument/2006/relationships/hyperlink" Target="file:///home/jason/mm-parts-index/invoices/2026-02-03-AIG%20Asia%20Pacific%20Insurance%20Pte.%20Ltd.-TOYOTA-152.PDF" TargetMode="External"/><Relationship Id="rId109" Type="http://schemas.openxmlformats.org/officeDocument/2006/relationships/hyperlink" Target="https://www.google.com/search?q=T53201-26082%20Toyota" TargetMode="External"/><Relationship Id="rId110" Type="http://schemas.openxmlformats.org/officeDocument/2006/relationships/hyperlink" Target="file:///home/jason/mm-parts-index/invoices/2025-12-05-Tokio%20Marine%20Insurance%20Singapore%20Ltd-TOYOTA-106.PDF" TargetMode="External"/><Relationship Id="rId111" Type="http://schemas.openxmlformats.org/officeDocument/2006/relationships/hyperlink" Target="https://www.google.com/search?q=T53201-26082%20Toyota" TargetMode="External"/><Relationship Id="rId112" Type="http://schemas.openxmlformats.org/officeDocument/2006/relationships/hyperlink" Target="file:///home/jason/mm-parts-index/invoices/2026-01-21-HL%20Assurance%20Pte%20Ltd-TOYOTA-146.PDF" TargetMode="External"/><Relationship Id="rId113" Type="http://schemas.openxmlformats.org/officeDocument/2006/relationships/hyperlink" Target="https://www.google.com/search?q=T53205-28200%20Toyota" TargetMode="External"/><Relationship Id="rId114" Type="http://schemas.openxmlformats.org/officeDocument/2006/relationships/hyperlink" Target="file:///home/jason/mm-parts-index/invoices/2025-08-17-Allianz%20Insurance%20Singapore%20Pte.%20Ltd.-MERCEDES-BENZ-6.JPG" TargetMode="External"/><Relationship Id="rId115" Type="http://schemas.openxmlformats.org/officeDocument/2006/relationships/hyperlink" Target="https://www.google.com/search?q=MBA156%20888%2006%2000%209040%20Mercedes-Benz" TargetMode="External"/><Relationship Id="rId116" Type="http://schemas.openxmlformats.org/officeDocument/2006/relationships/hyperlink" Target="file:///home/jason/mm-parts-index/invoices/2025-08-17-Allianz%20Insurance%20Singapore%20Pte.%20Ltd.-MERCEDES-BENZ-6.JPG" TargetMode="External"/><Relationship Id="rId117" Type="http://schemas.openxmlformats.org/officeDocument/2006/relationships/hyperlink" Target="https://www.google.com/search?q=MBA156%20888%2024%2000%209040%20Mercedes-Benz" TargetMode="External"/><Relationship Id="rId118" Type="http://schemas.openxmlformats.org/officeDocument/2006/relationships/hyperlink" Target="file:///home/jason/mm-parts-index/invoices/2025-08-17-Allianz%20Insurance%20Singapore%20Pte.%20Ltd.-MERCEDES-BENZ-6.JPG" TargetMode="External"/><Relationship Id="rId119" Type="http://schemas.openxmlformats.org/officeDocument/2006/relationships/hyperlink" Target="https://www.google.com/search?q=MBA156%20880%2064%2000%20Mercedes-Benz" TargetMode="External"/><Relationship Id="rId120" Type="http://schemas.openxmlformats.org/officeDocument/2006/relationships/hyperlink" Target="file:///home/jason/mm-parts-index/invoices/2026-01-05-Allianz%20Insurance%20Singapore%20Pte.%20Ltd.-MERCEDES-BENZ-132.PDF" TargetMode="External"/><Relationship Id="rId121" Type="http://schemas.openxmlformats.org/officeDocument/2006/relationships/hyperlink" Target="https://www.google.com/search?q=MBA253%20620%2018%2001%20Mercedes-Benz" TargetMode="External"/><Relationship Id="rId122" Type="http://schemas.openxmlformats.org/officeDocument/2006/relationships/hyperlink" Target="file:///home/jason/mm-parts-index/invoices/2025-08-17-Allianz%20Insurance%20Singapore%20Pte.%20Ltd.-MERCEDES-BENZ-6.JPG" TargetMode="External"/><Relationship Id="rId123" Type="http://schemas.openxmlformats.org/officeDocument/2006/relationships/hyperlink" Target="https://www.google.com/search?q=MBA246%20620%2002%2034%2064%20Mercedes-Benz" TargetMode="External"/><Relationship Id="rId124" Type="http://schemas.openxmlformats.org/officeDocument/2006/relationships/hyperlink" Target="https://www.google.com/search?q=T81130-06590%20Toyota" TargetMode="External"/><Relationship Id="rId125" Type="http://schemas.openxmlformats.org/officeDocument/2006/relationships/hyperlink" Target="file:///home/jason/mm-parts-index/invoices/2025-11-29-Allianz%20Insurance%20Singapore%20Pte.%20Ltd.-TOYOTA-83.PDF" TargetMode="External"/><Relationship Id="rId126" Type="http://schemas.openxmlformats.org/officeDocument/2006/relationships/hyperlink" Target="https://www.google.com/search?q=81130-0L011%20KDH200%20Toyota" TargetMode="External"/><Relationship Id="rId127" Type="http://schemas.openxmlformats.org/officeDocument/2006/relationships/hyperlink" Target="file:///home/jason/mm-parts-index/invoices/2025-11-29-Allianz%20Insurance%20Singapore%20Pte.%20Ltd.-TOYOTA-83.PDF" TargetMode="External"/><Relationship Id="rId128" Type="http://schemas.openxmlformats.org/officeDocument/2006/relationships/hyperlink" Target="https://www.google.com/search?q=81170-0L011%20KDH200%20Toyota" TargetMode="External"/><Relationship Id="rId129" Type="http://schemas.openxmlformats.org/officeDocument/2006/relationships/hyperlink" Target="file:///home/jason/mm-parts-index/invoices/2025-11-19-Tokio%20Marine%20Insurance%20Singapore%20Ltd-TOYOTA-74.PDF" TargetMode="External"/><Relationship Id="rId130" Type="http://schemas.openxmlformats.org/officeDocument/2006/relationships/hyperlink" Target="https://www.google.com/search?q=81130-0DF01%2FP90%20Toyota" TargetMode="External"/><Relationship Id="rId131" Type="http://schemas.openxmlformats.org/officeDocument/2006/relationships/hyperlink" Target="file:///home/jason/mm-parts-index/invoices/2025-11-19-Tokio%20Marine%20Insurance%20Singapore%20Ltd-TOYOTA-74.PDF" TargetMode="External"/><Relationship Id="rId132" Type="http://schemas.openxmlformats.org/officeDocument/2006/relationships/hyperlink" Target="https://www.google.com/search?q=81170-0DF01%2FP90%20Toyota" TargetMode="External"/><Relationship Id="rId133" Type="http://schemas.openxmlformats.org/officeDocument/2006/relationships/hyperlink" Target="file:///home/jason/mm-parts-index/invoices/2025-12-05-Tokio%20Marine%20Insurance%20Singapore%20Ltd-TOYOTA-106.PDF" TargetMode="External"/><Relationship Id="rId134" Type="http://schemas.openxmlformats.org/officeDocument/2006/relationships/hyperlink" Target="https://www.google.com/search?q=81130-0L011%20Toyota" TargetMode="External"/><Relationship Id="rId135" Type="http://schemas.openxmlformats.org/officeDocument/2006/relationships/hyperlink" Target="file:///home/jason/mm-parts-index/invoices/2025-12-05-Tokio%20Marine%20Insurance%20Singapore%20Ltd-TOYOTA-106.PDF" TargetMode="External"/><Relationship Id="rId136" Type="http://schemas.openxmlformats.org/officeDocument/2006/relationships/hyperlink" Target="https://www.google.com/search?q=81170-0L011%20Toyota" TargetMode="External"/><Relationship Id="rId137" Type="http://schemas.openxmlformats.org/officeDocument/2006/relationships/hyperlink" Target="file:///home/jason/mm-parts-index/invoices/2026-02-25-ECICS%20Limited-TOYOTA-181.PDF" TargetMode="External"/><Relationship Id="rId138" Type="http://schemas.openxmlformats.org/officeDocument/2006/relationships/hyperlink" Target="https://www.google.com/search?q=T81070-48890%20Toyota" TargetMode="External"/><Relationship Id="rId139" Type="http://schemas.openxmlformats.org/officeDocument/2006/relationships/hyperlink" Target="file:///home/jason/mm-parts-index/invoices/2026-02-25-ECICS%20Limited-TOYOTA-181.PDF" TargetMode="External"/><Relationship Id="rId140" Type="http://schemas.openxmlformats.org/officeDocument/2006/relationships/hyperlink" Target="https://www.google.com/search?q=T81140-48440%20Toyota" TargetMode="External"/><Relationship Id="rId141" Type="http://schemas.openxmlformats.org/officeDocument/2006/relationships/hyperlink" Target="file:///home/jason/mm-parts-index/invoices/2025-09-17-AIG%20Asia%20Pacific%20Insurance%20Pte.%20Ltd.-TOYOTA-21.PDF" TargetMode="External"/><Relationship Id="rId142" Type="http://schemas.openxmlformats.org/officeDocument/2006/relationships/hyperlink" Target="https://www.google.com/search?q=ZZT53112-02630%20Toyota" TargetMode="External"/><Relationship Id="rId143" Type="http://schemas.openxmlformats.org/officeDocument/2006/relationships/hyperlink" Target="file:///home/jason/mm-parts-index/invoices/2025-11-24-Tokio%20Marine%20Insurance%20Singapore%20Ltd-TOYOTA-81.PDF" TargetMode="External"/><Relationship Id="rId144" Type="http://schemas.openxmlformats.org/officeDocument/2006/relationships/hyperlink" Target="https://www.google.com/search?q=ZZT53112-26070%20Toyota" TargetMode="External"/><Relationship Id="rId145" Type="http://schemas.openxmlformats.org/officeDocument/2006/relationships/hyperlink" Target="file:///home/jason/mm-parts-index/invoices/2026-02-12-AIG%20Asia%20Pacific%20Insurance%20Pte.%20Ltd.-TOYOTA-178.PDF" TargetMode="External"/><Relationship Id="rId146" Type="http://schemas.openxmlformats.org/officeDocument/2006/relationships/hyperlink" Target="https://www.google.com/search?q=ZZT53112-26070%20Toyota" TargetMode="External"/><Relationship Id="rId147" Type="http://schemas.openxmlformats.org/officeDocument/2006/relationships/hyperlink" Target="file:///home/jason/mm-parts-index/invoices/2025-10-27-AIG%20Asia%20Pacific%20Insurance%20Pte.%20Ltd.-TOYOTA-60.PDF" TargetMode="External"/><Relationship Id="rId148" Type="http://schemas.openxmlformats.org/officeDocument/2006/relationships/hyperlink" Target="https://www.google.com/search?q=ZZT53102-06120%20Toyota" TargetMode="External"/><Relationship Id="rId149" Type="http://schemas.openxmlformats.org/officeDocument/2006/relationships/hyperlink" Target="file:///home/jason/mm-parts-index/invoices/2026-02-09-Allianz%20Insurance%20Singapore%20Pte.%20Ltd.-TESLA-155.PDF" TargetMode="External"/><Relationship Id="rId150" Type="http://schemas.openxmlformats.org/officeDocument/2006/relationships/hyperlink" Target="https://www.google.com/search?q=1774268-00-G%20Tesla" TargetMode="External"/><Relationship Id="rId151" Type="http://schemas.openxmlformats.org/officeDocument/2006/relationships/hyperlink" Target="file:///home/jason/mm-parts-index/invoices/2026-02-09-Allianz%20Insurance%20Singapore%20Pte.%20Ltd.-TESLA-158.JPG" TargetMode="External"/><Relationship Id="rId152" Type="http://schemas.openxmlformats.org/officeDocument/2006/relationships/hyperlink" Target="https://www.google.com/search?q=1774268-00-G%20Tesla" TargetMode="External"/><Relationship Id="rId153" Type="http://schemas.openxmlformats.org/officeDocument/2006/relationships/hyperlink" Target="file:///home/jason/mm-parts-index/invoices/2026-02-09-Allianz%20Insurance%20Singapore%20Pte.%20Ltd.-TESLA-173.JPG" TargetMode="External"/><Relationship Id="rId154" Type="http://schemas.openxmlformats.org/officeDocument/2006/relationships/hyperlink" Target="https://www.google.com/search?q=1774268-00-G%20Tesla" TargetMode="External"/><Relationship Id="rId155" Type="http://schemas.openxmlformats.org/officeDocument/2006/relationships/hyperlink" Target="file:///home/jason/mm-parts-index/invoices/2025-12-02-Allianz%20Insurance%20Singapore%20Pte.%20Ltd.-TESLA-94.PDF" TargetMode="External"/><Relationship Id="rId156" Type="http://schemas.openxmlformats.org/officeDocument/2006/relationships/hyperlink" Target="https://www.google.com/search?q=1734299-00-H%20Tesla" TargetMode="External"/><Relationship Id="rId157" Type="http://schemas.openxmlformats.org/officeDocument/2006/relationships/hyperlink" Target="file:///home/jason/mm-parts-index/invoices/2025-12-02-Allianz%20Insurance%20Singapore%20Pte.%20Ltd.-TESLA-95.PDF" TargetMode="External"/><Relationship Id="rId158" Type="http://schemas.openxmlformats.org/officeDocument/2006/relationships/hyperlink" Target="https://www.google.com/search?q=1734300-00-H%20Tesla" TargetMode="External"/><Relationship Id="rId159" Type="http://schemas.openxmlformats.org/officeDocument/2006/relationships/hyperlink" Target="file:///home/jason/mm-parts-index/invoices/2026-02-09-Allianz%20Insurance%20Singapore%20Pte.%20Ltd.-TESLA-156.PDF" TargetMode="External"/><Relationship Id="rId160" Type="http://schemas.openxmlformats.org/officeDocument/2006/relationships/hyperlink" Target="https://www.google.com/search?q=1734299-00-H%20Tesla" TargetMode="External"/><Relationship Id="rId161" Type="http://schemas.openxmlformats.org/officeDocument/2006/relationships/hyperlink" Target="file:///home/jason/mm-parts-index/invoices/2026-02-09-Allianz%20Insurance%20Singapore%20Pte.%20Ltd.-TESLA-158.JPG" TargetMode="External"/><Relationship Id="rId162" Type="http://schemas.openxmlformats.org/officeDocument/2006/relationships/hyperlink" Target="https://www.google.com/search?q=1734299-00-H%20Tesla" TargetMode="External"/><Relationship Id="rId163" Type="http://schemas.openxmlformats.org/officeDocument/2006/relationships/hyperlink" Target="file:///home/jason/mm-parts-index/invoices/2026-02-09-Allianz%20Insurance%20Singapore%20Pte.%20Ltd.-TESLA-173.JPG" TargetMode="External"/><Relationship Id="rId164" Type="http://schemas.openxmlformats.org/officeDocument/2006/relationships/hyperlink" Target="https://www.google.com/search?q=1734299-00-H%20Tesla" TargetMode="External"/><Relationship Id="rId165" Type="http://schemas.openxmlformats.org/officeDocument/2006/relationships/hyperlink" Target="file:///home/jason/mm-parts-index/invoices/2026-02-12-AIG%20Asia%20Pacific%20Insurance%20Pte.%20Ltd.-TOYOTA-178.PDF" TargetMode="External"/><Relationship Id="rId166" Type="http://schemas.openxmlformats.org/officeDocument/2006/relationships/hyperlink" Target="https://www.google.com/search?q=ZZT53301-26080%20Toyota" TargetMode="External"/><Relationship Id="rId167" Type="http://schemas.openxmlformats.org/officeDocument/2006/relationships/hyperlink" Target="file:///home/jason/mm-parts-index/invoices/2025-11-29-Allianz%20Insurance%20Singapore%20Pte.%20Ltd.-TOYOTA-83.PDF" TargetMode="External"/><Relationship Id="rId168" Type="http://schemas.openxmlformats.org/officeDocument/2006/relationships/hyperlink" Target="https://www.google.com/search?q=53301-26080%20KDH200%2F1%20Toyota" TargetMode="External"/><Relationship Id="rId169" Type="http://schemas.openxmlformats.org/officeDocument/2006/relationships/hyperlink" Target="file:///home/jason/mm-parts-index/invoices/2025-09-26-EQ%20Insurance%20Company%20Ltd-TOYOTA-27.PDF" TargetMode="External"/><Relationship Id="rId170" Type="http://schemas.openxmlformats.org/officeDocument/2006/relationships/hyperlink" Target="https://www.google.com/search?q=53301-26080%20Toyota" TargetMode="External"/><Relationship Id="rId171" Type="http://schemas.openxmlformats.org/officeDocument/2006/relationships/hyperlink" Target="file:///home/jason/mm-parts-index/invoices/2025-12-05-Tokio%20Marine%20Insurance%20Singapore%20Ltd-TOYOTA-106.PDF" TargetMode="External"/><Relationship Id="rId172" Type="http://schemas.openxmlformats.org/officeDocument/2006/relationships/hyperlink" Target="https://www.google.com/search?q=53301-26080%20Toyota" TargetMode="External"/><Relationship Id="rId173" Type="http://schemas.openxmlformats.org/officeDocument/2006/relationships/hyperlink" Target="file:///home/jason/mm-parts-index/invoices/2026-01-21-HL%20Assurance%20Pte%20Ltd-TOYOTA-146.PDF" TargetMode="External"/><Relationship Id="rId174" Type="http://schemas.openxmlformats.org/officeDocument/2006/relationships/hyperlink" Target="https://www.google.com/search?q=T53301-28160%20Toyota" TargetMode="External"/><Relationship Id="rId175" Type="http://schemas.openxmlformats.org/officeDocument/2006/relationships/hyperlink" Target="file:///home/jason/mm-parts-index/invoices/2026-02-02-AIG%20Asia%20Pacific%20Insurance%20Pte.%20Ltd.-TOYOTA-151.PDF" TargetMode="External"/><Relationship Id="rId176" Type="http://schemas.openxmlformats.org/officeDocument/2006/relationships/hyperlink" Target="https://www.google.com/search?q=T53301-06200%20Toyota" TargetMode="External"/><Relationship Id="rId177" Type="http://schemas.openxmlformats.org/officeDocument/2006/relationships/hyperlink" Target="file:///home/jason/mm-parts-index/invoices/2026-01-15-Allianz%20Insurance%20Singapore%20Pte.%20Ltd.-TOYOTA-140.PDF" TargetMode="External"/><Relationship Id="rId178" Type="http://schemas.openxmlformats.org/officeDocument/2006/relationships/hyperlink" Target="https://www.google.com/search?q=T53301-12B30%20Toyota" TargetMode="External"/><Relationship Id="rId179" Type="http://schemas.openxmlformats.org/officeDocument/2006/relationships/hyperlink" Target="file:///home/jason/mm-parts-index/invoices/2025-11-19-Tokio%20Marine%20Insurance%20Singapore%20Ltd-TOYOTA-75.PDF" TargetMode="External"/><Relationship Id="rId180" Type="http://schemas.openxmlformats.org/officeDocument/2006/relationships/hyperlink" Target="https://www.google.com/search?q=53301-0D280%20Toyota" TargetMode="External"/><Relationship Id="rId181" Type="http://schemas.openxmlformats.org/officeDocument/2006/relationships/hyperlink" Target="file:///home/jason/mm-parts-index/invoices/2026-01-05-Allianz%20Insurance%20Singapore%20Pte.%20Ltd.-MERCEDES-BENZ-131.PDF" TargetMode="External"/><Relationship Id="rId182" Type="http://schemas.openxmlformats.org/officeDocument/2006/relationships/hyperlink" Target="https://www.google.com/search?q=MBA000%20817%2021%2016%20Mercedes-Benz" TargetMode="External"/><Relationship Id="rId183" Type="http://schemas.openxmlformats.org/officeDocument/2006/relationships/hyperlink" Target="file:///home/jason/mm-parts-index/invoices/2025-08-17-Allianz%20Insurance%20Singapore%20Pte.%20Ltd.-MERCEDES-BENZ-6.JPG" TargetMode="External"/><Relationship Id="rId184" Type="http://schemas.openxmlformats.org/officeDocument/2006/relationships/hyperlink" Target="https://www.google.com/search?q=MBA000%20817%2010%2016%20Mercedes-Benz" TargetMode="External"/><Relationship Id="rId185" Type="http://schemas.openxmlformats.org/officeDocument/2006/relationships/hyperlink" Target="file:///home/jason/mm-parts-index/invoices/2025-10-21-AIG%20Asia%20Pacific%20Insurance%20Pte.%20Ltd.-MERCEDES-BENZ-57.PDF" TargetMode="External"/><Relationship Id="rId186" Type="http://schemas.openxmlformats.org/officeDocument/2006/relationships/hyperlink" Target="https://www.google.com/search?q=X0008171016%20Mercedes-Benz" TargetMode="External"/><Relationship Id="rId187" Type="http://schemas.openxmlformats.org/officeDocument/2006/relationships/hyperlink" Target="file:///home/jason/mm-parts-index/invoices/2026-01-07-Tokio%20Marine%20Insurance%20Singapore%20Ltd-MERCEDES-BENZ-135.PDF" TargetMode="External"/><Relationship Id="rId188" Type="http://schemas.openxmlformats.org/officeDocument/2006/relationships/hyperlink" Target="https://www.google.com/search?q=X2078170016%20Mercedes-Benz" TargetMode="External"/><Relationship Id="rId189" Type="http://schemas.openxmlformats.org/officeDocument/2006/relationships/hyperlink" Target="file:///home/jason/mm-parts-index/invoices/2025-11-29-Allianz%20Insurance%20Singapore%20Pte.%20Ltd.-TOYOTA-88.PDF" TargetMode="External"/><Relationship Id="rId190" Type="http://schemas.openxmlformats.org/officeDocument/2006/relationships/hyperlink" Target="https://www.google.com/search?q=16400-11A40%20Toyota" TargetMode="External"/><Relationship Id="rId191" Type="http://schemas.openxmlformats.org/officeDocument/2006/relationships/hyperlink" Target="file:///home/jason/mm-parts-index/invoices/2026-01-15-Allianz%20Insurance%20Singapore%20Pte.%20Ltd.-TOYOTA-140.PDF" TargetMode="External"/><Relationship Id="rId192" Type="http://schemas.openxmlformats.org/officeDocument/2006/relationships/hyperlink" Target="https://www.google.com/search?q=T16400-47090%20Toyota" TargetMode="External"/><Relationship Id="rId193" Type="http://schemas.openxmlformats.org/officeDocument/2006/relationships/hyperlink" Target="file:///home/jason/mm-parts-index/invoices/2025-05-20-Allianz%20Insurance%20Singapore%20Pte.%20Ltd.-TOYOTA-1.PDF" TargetMode="External"/><Relationship Id="rId194" Type="http://schemas.openxmlformats.org/officeDocument/2006/relationships/hyperlink" Target="https://www.google.com/search?q=T16400-30172-R%20Toyota" TargetMode="External"/><Relationship Id="rId195" Type="http://schemas.openxmlformats.org/officeDocument/2006/relationships/hyperlink" Target="file:///home/jason/mm-parts-index/invoices/2025-12-05-Tokio%20Marine%20Insurance%20Singapore%20Ltd-TOYOTA-106.PDF" TargetMode="External"/><Relationship Id="rId196" Type="http://schemas.openxmlformats.org/officeDocument/2006/relationships/hyperlink" Target="https://www.google.com/search?q=16400-30174%20Toyota" TargetMode="External"/><Relationship Id="rId197" Type="http://schemas.openxmlformats.org/officeDocument/2006/relationships/hyperlink" Target="file:///home/jason/mm-parts-index/invoices/2025-08-17-Allianz%20Insurance%20Singapore%20Pte.%20Ltd.-MERCEDES-BENZ-6.JPG" TargetMode="External"/><Relationship Id="rId198" Type="http://schemas.openxmlformats.org/officeDocument/2006/relationships/hyperlink" Target="https://www.google.com/search?q=MBA156%20880%2000%2057%2064%20Mercedes-Benz" TargetMode="External"/><Relationship Id="rId199" Type="http://schemas.openxmlformats.org/officeDocument/2006/relationships/hyperlink" Target="https://www.google.com/search?q=MBA213%20880%2003%2057%20Mercedes-Benz" TargetMode="External"/><Relationship Id="rId200" Type="http://schemas.openxmlformats.org/officeDocument/2006/relationships/hyperlink" Target="file:///home/jason/mm-parts-index/invoices/2026-01-05-Allianz%20Insurance%20Singapore%20Pte.%20Ltd.-MERCEDES-BENZ-132.PDF" TargetMode="External"/><Relationship Id="rId201" Type="http://schemas.openxmlformats.org/officeDocument/2006/relationships/hyperlink" Target="https://www.google.com/search?q=MBA253%20880%2001%2057%2064%20Mercedes-Benz" TargetMode="External"/><Relationship Id="rId202" Type="http://schemas.openxmlformats.org/officeDocument/2006/relationships/hyperlink" Target="file:///home/jason/mm-parts-index/invoices/2025-10-17-AIG%20Asia%20Pacific%20Insurance%20Pte.%20Ltd.-MERCEDES-BENZ-55.PDF" TargetMode="External"/><Relationship Id="rId203" Type="http://schemas.openxmlformats.org/officeDocument/2006/relationships/hyperlink" Target="https://www.google.com/search?q=MBA253%20880%2001%2057%2064%20Mercedes-Benz"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home/jason/mm-parts-index/invoices/2025-05-20-Allianz%20Insurance%20Singapore%20Pte.%20Ltd.-TOYOTA-1.PDF" TargetMode="External"/><Relationship Id="rId2" Type="http://schemas.openxmlformats.org/officeDocument/2006/relationships/hyperlink" Target="file:///home/jason/mm-parts-index/invoices/2025-08-17-Allianz%20Insurance%20Singapore%20Pte.%20Ltd.-MERCEDES-BENZ-6.JPG" TargetMode="External"/><Relationship Id="rId3" Type="http://schemas.openxmlformats.org/officeDocument/2006/relationships/hyperlink" Target="file:///home/jason/mm-parts-index/invoices/2025-09-17-AIG%20Asia%20Pacific%20Insurance%20Pte.%20Ltd.-TOYOTA-21.PDF" TargetMode="External"/><Relationship Id="rId4" Type="http://schemas.openxmlformats.org/officeDocument/2006/relationships/hyperlink" Target="file:///home/jason/mm-parts-index/invoices/2025-09-26-EQ%20Insurance%20Company%20Ltd-TOYOTA-26.PDF" TargetMode="External"/><Relationship Id="rId5" Type="http://schemas.openxmlformats.org/officeDocument/2006/relationships/hyperlink" Target="file:///home/jason/mm-parts-index/invoices/2025-09-26-EQ%20Insurance%20Company%20Ltd-TOYOTA-27.PDF" TargetMode="External"/><Relationship Id="rId6" Type="http://schemas.openxmlformats.org/officeDocument/2006/relationships/hyperlink" Target="file:///home/jason/mm-parts-index/invoices/2025-09-26-EQ%20Insurance%20Company%20Ltd-TOYOTA-29.PDF" TargetMode="External"/><Relationship Id="rId7" Type="http://schemas.openxmlformats.org/officeDocument/2006/relationships/hyperlink" Target="file:///home/jason/mm-parts-index/invoices/2025-10-08-AIG%20Asia%20Pacific%20Insurance%20Pte.%20Ltd.-TOYOTA-45.PDF" TargetMode="External"/><Relationship Id="rId8" Type="http://schemas.openxmlformats.org/officeDocument/2006/relationships/hyperlink" Target="file:///home/jason/mm-parts-index/invoices/2025-10-15-AIG%20Asia%20Pacific%20Insurance%20Pte.%20Ltd.-MERCEDES-BENZ-49.PDF" TargetMode="External"/><Relationship Id="rId9" Type="http://schemas.openxmlformats.org/officeDocument/2006/relationships/hyperlink" Target="file:///home/jason/mm-parts-index/invoices/2025-10-17-AIG%20Asia%20Pacific%20Insurance%20Pte.%20Ltd.-MERCEDES-BENZ-55.PDF" TargetMode="External"/><Relationship Id="rId10" Type="http://schemas.openxmlformats.org/officeDocument/2006/relationships/hyperlink" Target="file:///home/jason/mm-parts-index/invoices/2025-10-21-AIG%20Asia%20Pacific%20Insurance%20Pte.%20Ltd.-MERCEDES-BENZ-57.PDF" TargetMode="External"/><Relationship Id="rId11" Type="http://schemas.openxmlformats.org/officeDocument/2006/relationships/hyperlink" Target="file:///home/jason/mm-parts-index/invoices/2025-10-21-HL%20Assurance%20Pte%20Ltd-TOYOTA-58.PDF" TargetMode="External"/><Relationship Id="rId12" Type="http://schemas.openxmlformats.org/officeDocument/2006/relationships/hyperlink" Target="file:///home/jason/mm-parts-index/invoices/2025-10-27-AIG%20Asia%20Pacific%20Insurance%20Pte.%20Ltd.-TOYOTA-60.PDF" TargetMode="External"/><Relationship Id="rId13" Type="http://schemas.openxmlformats.org/officeDocument/2006/relationships/hyperlink" Target="file:///home/jason/mm-parts-index/invoices/2025-11-18-AIG%20Asia%20Pacific%20Insurance%20Pte.%20Ltd.-TOYOTA-72.PDF" TargetMode="External"/><Relationship Id="rId14" Type="http://schemas.openxmlformats.org/officeDocument/2006/relationships/hyperlink" Target="file:///home/jason/mm-parts-index/invoices/2025-11-19-Tokio%20Marine%20Insurance%20Singapore%20Ltd-TOYOTA-74.PDF" TargetMode="External"/><Relationship Id="rId15" Type="http://schemas.openxmlformats.org/officeDocument/2006/relationships/hyperlink" Target="file:///home/jason/mm-parts-index/invoices/2025-11-19-Tokio%20Marine%20Insurance%20Singapore%20Ltd-TOYOTA-75.PDF" TargetMode="External"/><Relationship Id="rId16" Type="http://schemas.openxmlformats.org/officeDocument/2006/relationships/hyperlink" Target="file:///home/jason/mm-parts-index/invoices/2025-11-22-AIG%20Asia%20Pacific%20Insurance%20Pte.%20Ltd.-LEXUS-80.PDF" TargetMode="External"/><Relationship Id="rId17" Type="http://schemas.openxmlformats.org/officeDocument/2006/relationships/hyperlink" Target="file:///home/jason/mm-parts-index/invoices/2025-11-24-Tokio%20Marine%20Insurance%20Singapore%20Ltd-TOYOTA-81.PDF" TargetMode="External"/><Relationship Id="rId18" Type="http://schemas.openxmlformats.org/officeDocument/2006/relationships/hyperlink" Target="file:///home/jason/mm-parts-index/invoices/2025-11-29-Allianz%20Insurance%20Singapore%20Pte.%20Ltd.-TOYOTA-83.PDF" TargetMode="External"/><Relationship Id="rId19" Type="http://schemas.openxmlformats.org/officeDocument/2006/relationships/hyperlink" Target="file:///home/jason/mm-parts-index/invoices/2025-11-29-Allianz%20Insurance%20Singapore%20Pte.%20Ltd.-TOYOTA-84.PDF" TargetMode="External"/><Relationship Id="rId20" Type="http://schemas.openxmlformats.org/officeDocument/2006/relationships/hyperlink" Target="file:///home/jason/mm-parts-index/invoices/2025-11-29-Allianz%20Insurance%20Singapore%20Pte.%20Ltd.-TOYOTA-88.PDF" TargetMode="External"/><Relationship Id="rId21" Type="http://schemas.openxmlformats.org/officeDocument/2006/relationships/hyperlink" Target="file:///home/jason/mm-parts-index/invoices/2025-11-29-Allianz%20Insurance%20Singapore%20Pte.%20Ltd.-TOYOTA-90.PDF" TargetMode="External"/><Relationship Id="rId22" Type="http://schemas.openxmlformats.org/officeDocument/2006/relationships/hyperlink" Target="file:///home/jason/mm-parts-index/invoices/2025-11-29-Allianz%20Insurance%20Singapore%20Pte.%20Ltd.-TOYOTA-91.PDF" TargetMode="External"/><Relationship Id="rId23" Type="http://schemas.openxmlformats.org/officeDocument/2006/relationships/hyperlink" Target="file:///home/jason/mm-parts-index/invoices/2025-12-02-Allianz%20Insurance%20Singapore%20Pte.%20Ltd.-TESLA-94.PDF" TargetMode="External"/><Relationship Id="rId24" Type="http://schemas.openxmlformats.org/officeDocument/2006/relationships/hyperlink" Target="file:///home/jason/mm-parts-index/invoices/2025-12-02-Allianz%20Insurance%20Singapore%20Pte.%20Ltd.-TESLA-95.PDF" TargetMode="External"/><Relationship Id="rId25" Type="http://schemas.openxmlformats.org/officeDocument/2006/relationships/hyperlink" Target="file:///home/jason/mm-parts-index/invoices/2025-12-03-Allianz%20Insurance%20Singapore%20Pte.%20Ltd.-TOYOTA-101.PDF" TargetMode="External"/><Relationship Id="rId26" Type="http://schemas.openxmlformats.org/officeDocument/2006/relationships/hyperlink" Target="file:///home/jason/mm-parts-index/invoices/2025-12-05-Tokio%20Marine%20Insurance%20Singapore%20Ltd-TOYOTA-106.PDF" TargetMode="External"/><Relationship Id="rId27" Type="http://schemas.openxmlformats.org/officeDocument/2006/relationships/hyperlink" Target="file:///home/jason/mm-parts-index/invoices/2026-01-05-Allianz%20Insurance%20Singapore%20Pte.%20Ltd.-MERCEDES-BENZ-131.PDF" TargetMode="External"/><Relationship Id="rId28" Type="http://schemas.openxmlformats.org/officeDocument/2006/relationships/hyperlink" Target="file:///home/jason/mm-parts-index/invoices/2026-01-05-Allianz%20Insurance%20Singapore%20Pte.%20Ltd.-MERCEDES-BENZ-132.PDF" TargetMode="External"/><Relationship Id="rId29" Type="http://schemas.openxmlformats.org/officeDocument/2006/relationships/hyperlink" Target="file:///home/jason/mm-parts-index/invoices/2026-01-07-Tokio%20Marine%20Insurance%20Singapore%20Ltd-MERCEDES-BENZ-135.PDF" TargetMode="External"/><Relationship Id="rId30" Type="http://schemas.openxmlformats.org/officeDocument/2006/relationships/hyperlink" Target="file:///home/jason/mm-parts-index/invoices/2026-01-14-HL%20Assurance%20Pte%20Ltd-TOYOTA-139.PDF" TargetMode="External"/><Relationship Id="rId31" Type="http://schemas.openxmlformats.org/officeDocument/2006/relationships/hyperlink" Target="file:///home/jason/mm-parts-index/invoices/2026-01-15-Allianz%20Insurance%20Singapore%20Pte.%20Ltd.-TOYOTA-140.PDF" TargetMode="External"/><Relationship Id="rId32" Type="http://schemas.openxmlformats.org/officeDocument/2006/relationships/hyperlink" Target="file:///home/jason/mm-parts-index/invoices/2026-01-21-HL%20Assurance%20Pte%20Ltd-TOYOTA-146.PDF" TargetMode="External"/><Relationship Id="rId33" Type="http://schemas.openxmlformats.org/officeDocument/2006/relationships/hyperlink" Target="file:///home/jason/mm-parts-index/invoices/2026-02-02-AIG%20Asia%20Pacific%20Insurance%20Pte.%20Ltd.-TOYOTA-151.PDF"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file:///home/jason/mm-parts-index/invoices/2026-02-09-Allianz%20Insurance%20Singapore%20Pte.%20Ltd.-TESLA-155.PDF" TargetMode="External"/><Relationship Id="rId36" Type="http://schemas.openxmlformats.org/officeDocument/2006/relationships/hyperlink" Target="file:///home/jason/mm-parts-index/invoices/2026-02-09-Allianz%20Insurance%20Singapore%20Pte.%20Ltd.-TESLA-156.PDF" TargetMode="External"/><Relationship Id="rId37" Type="http://schemas.openxmlformats.org/officeDocument/2006/relationships/hyperlink" Target="file:///home/jason/mm-parts-index/invoices/2026-02-09-Allianz%20Insurance%20Singapore%20Pte.%20Ltd.-TESLA-158.JPG" TargetMode="External"/><Relationship Id="rId38" Type="http://schemas.openxmlformats.org/officeDocument/2006/relationships/hyperlink" Target="file:///home/jason/mm-parts-index/invoices/2026-02-09-Allianz%20Insurance%20Singapore%20Pte.%20Ltd.-TESLA-169.PDF" TargetMode="External"/><Relationship Id="rId39" Type="http://schemas.openxmlformats.org/officeDocument/2006/relationships/hyperlink" Target="file:///home/jason/mm-parts-index/invoices/2026-02-09-Allianz%20Insurance%20Singapore%20Pte.%20Ltd.-TESLA-173.JPG" TargetMode="External"/><Relationship Id="rId40" Type="http://schemas.openxmlformats.org/officeDocument/2006/relationships/hyperlink" Target="file:///home/jason/mm-parts-index/invoices/2026-02-12-AIG%20Asia%20Pacific%20Insurance%20Pte.%20Ltd.-TOYOTA-178.PDF" TargetMode="External"/><Relationship Id="rId41" Type="http://schemas.openxmlformats.org/officeDocument/2006/relationships/hyperlink" Target="file:///home/jason/mm-parts-index/invoices/2026-02-23-Allianz%20Insurance%20Singapore%20Pte.%20Ltd.-TOYOTA-179.PDF" TargetMode="External"/><Relationship Id="rId42" Type="http://schemas.openxmlformats.org/officeDocument/2006/relationships/hyperlink" Target="file:///home/jason/mm-parts-index/invoices/2026-02-25-ECICS%20Limited-TOYOTA-18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4C5C"/>
    <pageSetUpPr fitToPage="1"/>
  </sheetPr>
  <dimension ref="B1:D43"/>
  <sheetFormatPr defaultRowHeight="15" outlineLevelRow="0" outlineLevelCol="0" x14ac:dyDescent="55"/>
  <cols>
    <col min="1" max="1" width="4" customWidth="1"/>
    <col min="2" max="2" width="40" customWidth="1"/>
    <col min="3" max="3" width="24" customWidth="1"/>
    <col min="4" max="4" width="72" customWidth="1"/>
  </cols>
  <sheetData>
    <row r="1" ht="28" customHeight="1" spans="2:4" x14ac:dyDescent="0.25">
      <c r="B1" s="1" t="s">
        <v>0</v>
      </c>
      <c r="C1" s="1"/>
      <c r="D1" s="1"/>
    </row>
    <row r="2" spans="2:4" x14ac:dyDescent="0.25">
      <c r="B2" s="2" t="s">
        <v>1</v>
      </c>
      <c r="C2" s="2"/>
      <c r="D2" s="2"/>
    </row>
    <row r="4" spans="2:4" x14ac:dyDescent="0.25">
      <c r="B4" s="3" t="s">
        <v>2</v>
      </c>
      <c r="C4" s="3"/>
      <c r="D4" s="3"/>
    </row>
    <row r="5" ht="48" customHeight="1" spans="2:4" x14ac:dyDescent="0.25">
      <c r="B5" s="4" t="s">
        <v>3</v>
      </c>
      <c r="C5" s="4"/>
      <c r="D5" s="4"/>
    </row>
    <row r="6" spans="2:4" x14ac:dyDescent="0.25">
      <c r="B6" s="4" t="s">
        <v>4</v>
      </c>
      <c r="C6" s="4"/>
      <c r="D6" s="4"/>
    </row>
    <row r="7" ht="18" customHeight="1" spans="2:4" x14ac:dyDescent="0.25">
      <c r="B7" s="4" t="s">
        <v>5</v>
      </c>
      <c r="C7" s="4"/>
      <c r="D7" s="4"/>
    </row>
    <row r="8" ht="34" customHeight="1" spans="2:4" x14ac:dyDescent="0.25">
      <c r="B8" s="4" t="s">
        <v>6</v>
      </c>
      <c r="C8" s="4"/>
      <c r="D8" s="4"/>
    </row>
    <row r="10" spans="2:4" x14ac:dyDescent="0.25">
      <c r="B10" s="3" t="s">
        <v>7</v>
      </c>
      <c r="C10" s="3"/>
      <c r="D10" s="3"/>
    </row>
    <row r="11" spans="2:4" x14ac:dyDescent="0.25">
      <c r="B11" s="4" t="s">
        <v>8</v>
      </c>
      <c r="C11" s="4"/>
      <c r="D11" s="4"/>
    </row>
    <row r="12" spans="2:4" x14ac:dyDescent="0.25">
      <c r="B12" s="4" t="s">
        <v>9</v>
      </c>
      <c r="C12" s="4"/>
      <c r="D12" s="4"/>
    </row>
    <row r="13" ht="32" customHeight="1" spans="2:4" x14ac:dyDescent="0.25">
      <c r="B13" s="4" t="s">
        <v>10</v>
      </c>
      <c r="C13" s="4"/>
      <c r="D13" s="4"/>
    </row>
    <row r="14" ht="32" customHeight="1" spans="2:4" x14ac:dyDescent="0.25">
      <c r="B14" s="4" t="s">
        <v>11</v>
      </c>
      <c r="C14" s="4"/>
      <c r="D14" s="4"/>
    </row>
    <row r="16" spans="2:4" x14ac:dyDescent="0.25">
      <c r="B16" s="3" t="s">
        <v>12</v>
      </c>
      <c r="C16" s="3"/>
      <c r="D16" s="3"/>
    </row>
    <row r="17" ht="48" customHeight="1" spans="2:4" x14ac:dyDescent="0.25">
      <c r="B17" s="5" t="s">
        <v>13</v>
      </c>
      <c r="C17" s="6" t="s">
        <v>14</v>
      </c>
      <c r="D17" s="7" t="s">
        <v>15</v>
      </c>
    </row>
    <row r="18" ht="48" customHeight="1" spans="2:4" x14ac:dyDescent="0.25">
      <c r="B18" s="5" t="s">
        <v>16</v>
      </c>
      <c r="C18" s="6" t="s">
        <v>17</v>
      </c>
      <c r="D18" s="7" t="s">
        <v>18</v>
      </c>
    </row>
    <row r="19" ht="48" customHeight="1" spans="2:4" x14ac:dyDescent="0.25">
      <c r="B19" s="5" t="s">
        <v>19</v>
      </c>
      <c r="C19" s="6" t="s">
        <v>20</v>
      </c>
      <c r="D19" s="7" t="s">
        <v>21</v>
      </c>
    </row>
    <row r="21" spans="2:4" x14ac:dyDescent="0.25">
      <c r="B21" s="3" t="s">
        <v>22</v>
      </c>
      <c r="C21" s="3"/>
      <c r="D21" s="3"/>
    </row>
    <row r="22" ht="46" customHeight="1" spans="2:4" x14ac:dyDescent="0.25">
      <c r="B22" s="4" t="s">
        <v>23</v>
      </c>
      <c r="C22" s="4"/>
      <c r="D22" s="4"/>
    </row>
    <row r="23" ht="18" customHeight="1" spans="2:4" x14ac:dyDescent="0.25">
      <c r="B23" s="4" t="s">
        <v>24</v>
      </c>
      <c r="C23" s="4"/>
      <c r="D23" s="4"/>
    </row>
    <row r="24" ht="18" customHeight="1" spans="2:4" x14ac:dyDescent="0.25">
      <c r="B24" s="4" t="s">
        <v>25</v>
      </c>
      <c r="C24" s="4"/>
      <c r="D24" s="4"/>
    </row>
    <row r="25" ht="34" customHeight="1" spans="2:4" x14ac:dyDescent="0.25">
      <c r="B25" s="8" t="s">
        <v>26</v>
      </c>
      <c r="C25" s="8"/>
      <c r="D25" s="8"/>
    </row>
    <row r="27" spans="2:4" x14ac:dyDescent="0.25">
      <c r="B27" s="3" t="s">
        <v>27</v>
      </c>
      <c r="C27" s="3"/>
      <c r="D27" s="3"/>
    </row>
    <row r="28" ht="30" customHeight="1" spans="2:4" x14ac:dyDescent="0.25">
      <c r="B28" s="9" t="s">
        <v>28</v>
      </c>
      <c r="C28" s="10" t="s">
        <v>29</v>
      </c>
      <c r="D28" s="10"/>
    </row>
    <row r="29" ht="30" customHeight="1" spans="2:4" x14ac:dyDescent="0.25">
      <c r="B29" s="9" t="s">
        <v>30</v>
      </c>
      <c r="C29" s="10" t="s">
        <v>31</v>
      </c>
      <c r="D29" s="10"/>
    </row>
    <row r="30" ht="30" customHeight="1" spans="2:4" x14ac:dyDescent="0.25">
      <c r="B30" s="9" t="s">
        <v>32</v>
      </c>
      <c r="C30" s="10" t="s">
        <v>33</v>
      </c>
      <c r="D30" s="10"/>
    </row>
    <row r="31" ht="30" customHeight="1" spans="2:4" x14ac:dyDescent="0.25">
      <c r="B31" s="9" t="s">
        <v>34</v>
      </c>
      <c r="C31" s="10" t="s">
        <v>35</v>
      </c>
      <c r="D31" s="10"/>
    </row>
    <row r="32" ht="30" customHeight="1" spans="2:4" x14ac:dyDescent="0.25">
      <c r="B32" s="9" t="s">
        <v>36</v>
      </c>
      <c r="C32" s="10" t="s">
        <v>37</v>
      </c>
      <c r="D32" s="10"/>
    </row>
    <row r="33" ht="30" customHeight="1" spans="2:4" x14ac:dyDescent="0.25">
      <c r="B33" s="9" t="s">
        <v>38</v>
      </c>
      <c r="C33" s="10" t="s">
        <v>39</v>
      </c>
      <c r="D33" s="10"/>
    </row>
    <row r="34" ht="30" customHeight="1" spans="2:4" x14ac:dyDescent="0.25">
      <c r="B34" s="9" t="s">
        <v>40</v>
      </c>
      <c r="C34" s="10" t="s">
        <v>41</v>
      </c>
      <c r="D34" s="10"/>
    </row>
    <row r="35" ht="30" customHeight="1" spans="2:4" x14ac:dyDescent="0.25">
      <c r="B35" s="9" t="s">
        <v>42</v>
      </c>
      <c r="C35" s="10" t="s">
        <v>43</v>
      </c>
      <c r="D35" s="10"/>
    </row>
    <row r="37" spans="2:4" x14ac:dyDescent="0.25">
      <c r="B37" s="3" t="s">
        <v>44</v>
      </c>
      <c r="C37" s="3"/>
      <c r="D37" s="3"/>
    </row>
    <row r="38" ht="30" customHeight="1" spans="2:4" x14ac:dyDescent="0.25">
      <c r="B38" s="11" t="s">
        <v>45</v>
      </c>
      <c r="C38" s="10" t="s">
        <v>46</v>
      </c>
      <c r="D38" s="10"/>
    </row>
    <row r="39" ht="30" customHeight="1" spans="2:4" x14ac:dyDescent="0.25">
      <c r="B39" s="11" t="s">
        <v>47</v>
      </c>
      <c r="C39" s="10" t="s">
        <v>48</v>
      </c>
      <c r="D39" s="10"/>
    </row>
    <row r="40" ht="30" customHeight="1" spans="2:4" x14ac:dyDescent="0.25">
      <c r="B40" s="11" t="s">
        <v>49</v>
      </c>
      <c r="C40" s="10" t="s">
        <v>50</v>
      </c>
      <c r="D40" s="10"/>
    </row>
    <row r="41" ht="30" customHeight="1" spans="2:4" x14ac:dyDescent="0.25">
      <c r="B41" s="11" t="s">
        <v>51</v>
      </c>
      <c r="C41" s="10" t="s">
        <v>52</v>
      </c>
      <c r="D41" s="10"/>
    </row>
    <row r="43" ht="30" customHeight="1" spans="2:4" x14ac:dyDescent="0.25">
      <c r="B43" s="2" t="s">
        <v>53</v>
      </c>
      <c r="C43" s="2"/>
      <c r="D43" s="2"/>
    </row>
  </sheetData>
  <mergeCells count="33">
    <mergeCell ref="B1:D1"/>
    <mergeCell ref="B2:D2"/>
    <mergeCell ref="B4:D4"/>
    <mergeCell ref="B5:D5"/>
    <mergeCell ref="B6:D6"/>
    <mergeCell ref="B7:D7"/>
    <mergeCell ref="B8:D8"/>
    <mergeCell ref="B10:D10"/>
    <mergeCell ref="B11:D11"/>
    <mergeCell ref="B12:D12"/>
    <mergeCell ref="B13:D13"/>
    <mergeCell ref="B14:D14"/>
    <mergeCell ref="B16:D16"/>
    <mergeCell ref="B21:D21"/>
    <mergeCell ref="B22:D22"/>
    <mergeCell ref="B23:D23"/>
    <mergeCell ref="B24:D24"/>
    <mergeCell ref="B25:D25"/>
    <mergeCell ref="B27:D27"/>
    <mergeCell ref="C28:D28"/>
    <mergeCell ref="C29:D29"/>
    <mergeCell ref="C30:D30"/>
    <mergeCell ref="C31:D31"/>
    <mergeCell ref="C32:D32"/>
    <mergeCell ref="C33:D33"/>
    <mergeCell ref="C34:D34"/>
    <mergeCell ref="C35:D35"/>
    <mergeCell ref="B37:D37"/>
    <mergeCell ref="C38:D38"/>
    <mergeCell ref="C39:D39"/>
    <mergeCell ref="C40:D40"/>
    <mergeCell ref="C41:D41"/>
    <mergeCell ref="B43:D43"/>
  </mergeCells>
  <pageMargins left="0.4" right="0.4" top="0.5" bottom="0.5" header="0.2" footer="0.2"/>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U107"/>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24" customWidth="1"/>
    <col min="3" max="4" width="11" customWidth="1"/>
    <col min="6" max="6" width="30" customWidth="1"/>
    <col min="7" max="7" width="20" customWidth="1"/>
    <col min="8" max="8" width="12" customWidth="1"/>
    <col min="9" max="9" width="14" customWidth="1"/>
    <col min="10" max="10" width="24" customWidth="1"/>
    <col min="11" max="11" width="15" customWidth="1"/>
    <col min="12" max="12" width="11" customWidth="1"/>
    <col min="13" max="13" width="42" customWidth="1"/>
    <col min="14" max="15" width="8" customWidth="1"/>
    <col min="16" max="16" width="26" customWidth="1"/>
    <col min="17" max="17" width="20" customWidth="1"/>
    <col min="18" max="18" width="26" customWidth="1"/>
    <col min="19" max="19" width="12" customWidth="1"/>
    <col min="20" max="20" width="20" customWidth="1"/>
    <col min="21" max="21" width="24" customWidth="1"/>
  </cols>
  <sheetData>
    <row r="1" ht="34" customHeight="1" spans="1:21" x14ac:dyDescent="0.25">
      <c r="A1" s="12" t="s">
        <v>45</v>
      </c>
      <c r="B1" s="12" t="s">
        <v>54</v>
      </c>
      <c r="C1" s="12" t="s">
        <v>55</v>
      </c>
      <c r="D1" s="12" t="s">
        <v>56</v>
      </c>
      <c r="E1" s="12" t="s">
        <v>51</v>
      </c>
      <c r="F1" s="12" t="s">
        <v>57</v>
      </c>
      <c r="G1" s="12" t="s">
        <v>58</v>
      </c>
      <c r="H1" s="12" t="s">
        <v>59</v>
      </c>
      <c r="I1" s="12" t="s">
        <v>60</v>
      </c>
      <c r="J1" s="12" t="s">
        <v>61</v>
      </c>
      <c r="K1" s="12" t="s">
        <v>62</v>
      </c>
      <c r="L1" s="12" t="s">
        <v>63</v>
      </c>
      <c r="M1" s="12" t="s">
        <v>64</v>
      </c>
      <c r="N1" s="12" t="s">
        <v>65</v>
      </c>
      <c r="O1" s="12" t="s">
        <v>66</v>
      </c>
      <c r="P1" s="13" t="s">
        <v>67</v>
      </c>
      <c r="Q1" s="13" t="s">
        <v>68</v>
      </c>
      <c r="R1" s="13" t="s">
        <v>69</v>
      </c>
      <c r="S1" s="13" t="s">
        <v>70</v>
      </c>
      <c r="T1" s="13" t="s">
        <v>71</v>
      </c>
      <c r="U1" s="13" t="s">
        <v>72</v>
      </c>
    </row>
    <row r="2" spans="1:21" x14ac:dyDescent="0.25">
      <c r="A2" s="6" t="s">
        <v>73</v>
      </c>
      <c r="B2" s="6" t="s">
        <v>74</v>
      </c>
      <c r="C2" s="7" t="s">
        <v>75</v>
      </c>
      <c r="D2" s="7">
        <v>5</v>
      </c>
      <c r="E2" s="14">
        <v>0.04</v>
      </c>
      <c r="F2" s="7" t="s">
        <v>76</v>
      </c>
      <c r="G2" s="15" t="s">
        <v>77</v>
      </c>
      <c r="H2" s="7" t="s">
        <v>78</v>
      </c>
      <c r="I2" s="7" t="s">
        <v>79</v>
      </c>
      <c r="J2" s="7" t="s">
        <v>80</v>
      </c>
      <c r="K2" s="7" t="s">
        <v>81</v>
      </c>
      <c r="L2" s="7" t="s">
        <v>82</v>
      </c>
      <c r="M2" s="7" t="s">
        <v>83</v>
      </c>
      <c r="N2" s="16" t="s">
        <v>84</v>
      </c>
      <c r="O2" s="16" t="s">
        <v>85</v>
      </c>
      <c r="P2" s="17" t="s">
        <v>75</v>
      </c>
      <c r="Q2" s="17" t="s">
        <v>75</v>
      </c>
      <c r="R2" s="17" t="s">
        <v>75</v>
      </c>
      <c r="S2" s="17" t="s">
        <v>75</v>
      </c>
      <c r="T2" s="17" t="s">
        <v>75</v>
      </c>
      <c r="U2" s="17" t="s">
        <v>75</v>
      </c>
    </row>
    <row r="3" spans="1:21" x14ac:dyDescent="0.25">
      <c r="A3" s="6" t="s">
        <v>73</v>
      </c>
      <c r="B3" s="6" t="s">
        <v>74</v>
      </c>
      <c r="C3" s="7" t="s">
        <v>75</v>
      </c>
      <c r="D3" s="7">
        <v>32</v>
      </c>
      <c r="E3" s="14">
        <v>0.27</v>
      </c>
      <c r="F3" s="7" t="s">
        <v>74</v>
      </c>
      <c r="G3" s="15" t="s">
        <v>86</v>
      </c>
      <c r="H3" s="7" t="s">
        <v>78</v>
      </c>
      <c r="I3" s="7" t="s">
        <v>79</v>
      </c>
      <c r="J3" s="7" t="s">
        <v>87</v>
      </c>
      <c r="K3" s="7" t="s">
        <v>88</v>
      </c>
      <c r="L3" s="7" t="s">
        <v>89</v>
      </c>
      <c r="M3" s="18" t="s">
        <v>90</v>
      </c>
      <c r="N3" s="7" t="s">
        <v>91</v>
      </c>
      <c r="O3" s="16" t="s">
        <v>85</v>
      </c>
      <c r="P3" s="17" t="s">
        <v>75</v>
      </c>
      <c r="Q3" s="17" t="s">
        <v>75</v>
      </c>
      <c r="R3" s="17" t="s">
        <v>75</v>
      </c>
      <c r="S3" s="17" t="s">
        <v>75</v>
      </c>
      <c r="T3" s="17" t="s">
        <v>75</v>
      </c>
      <c r="U3" s="17" t="s">
        <v>75</v>
      </c>
    </row>
    <row r="4" spans="1:21" x14ac:dyDescent="0.25">
      <c r="A4" s="6" t="s">
        <v>73</v>
      </c>
      <c r="B4" s="6" t="s">
        <v>74</v>
      </c>
      <c r="C4" s="7" t="s">
        <v>75</v>
      </c>
      <c r="D4" s="7">
        <v>80</v>
      </c>
      <c r="E4" s="7">
        <v>0.67</v>
      </c>
      <c r="F4" s="7" t="s">
        <v>92</v>
      </c>
      <c r="G4" s="15" t="s">
        <v>93</v>
      </c>
      <c r="H4" s="7" t="s">
        <v>78</v>
      </c>
      <c r="I4" s="7" t="s">
        <v>79</v>
      </c>
      <c r="J4" s="7" t="s">
        <v>80</v>
      </c>
      <c r="K4" s="7" t="s">
        <v>94</v>
      </c>
      <c r="L4" s="7" t="s">
        <v>95</v>
      </c>
      <c r="M4" s="7" t="s">
        <v>96</v>
      </c>
      <c r="N4" s="16" t="s">
        <v>84</v>
      </c>
      <c r="O4" s="16" t="s">
        <v>85</v>
      </c>
      <c r="P4" s="17" t="s">
        <v>75</v>
      </c>
      <c r="Q4" s="17" t="s">
        <v>75</v>
      </c>
      <c r="R4" s="17" t="s">
        <v>75</v>
      </c>
      <c r="S4" s="17" t="s">
        <v>75</v>
      </c>
      <c r="T4" s="17" t="s">
        <v>75</v>
      </c>
      <c r="U4" s="17" t="s">
        <v>75</v>
      </c>
    </row>
    <row r="5" spans="1:21" x14ac:dyDescent="0.25">
      <c r="A5" s="6" t="s">
        <v>73</v>
      </c>
      <c r="B5" s="6" t="s">
        <v>74</v>
      </c>
      <c r="C5" s="7" t="s">
        <v>75</v>
      </c>
      <c r="D5" s="7">
        <v>120</v>
      </c>
      <c r="E5" s="7">
        <v>1</v>
      </c>
      <c r="F5" s="7" t="s">
        <v>97</v>
      </c>
      <c r="G5" s="15" t="s">
        <v>98</v>
      </c>
      <c r="H5" s="7" t="s">
        <v>78</v>
      </c>
      <c r="I5" s="7" t="s">
        <v>79</v>
      </c>
      <c r="J5" s="7" t="s">
        <v>99</v>
      </c>
      <c r="K5" s="7" t="s">
        <v>100</v>
      </c>
      <c r="L5" s="7" t="s">
        <v>101</v>
      </c>
      <c r="M5" s="7" t="s">
        <v>102</v>
      </c>
      <c r="N5" s="16" t="s">
        <v>84</v>
      </c>
      <c r="O5" s="16" t="s">
        <v>85</v>
      </c>
      <c r="P5" s="17" t="s">
        <v>75</v>
      </c>
      <c r="Q5" s="17" t="s">
        <v>75</v>
      </c>
      <c r="R5" s="17" t="s">
        <v>75</v>
      </c>
      <c r="S5" s="17" t="s">
        <v>75</v>
      </c>
      <c r="T5" s="17" t="s">
        <v>75</v>
      </c>
      <c r="U5" s="17" t="s">
        <v>75</v>
      </c>
    </row>
    <row r="6" spans="1:21" x14ac:dyDescent="0.25">
      <c r="A6" s="6" t="s">
        <v>73</v>
      </c>
      <c r="B6" s="6" t="s">
        <v>74</v>
      </c>
      <c r="C6" s="7" t="s">
        <v>75</v>
      </c>
      <c r="D6" s="7">
        <v>120</v>
      </c>
      <c r="E6" s="7">
        <v>1</v>
      </c>
      <c r="F6" s="7" t="s">
        <v>76</v>
      </c>
      <c r="G6" s="15" t="s">
        <v>103</v>
      </c>
      <c r="H6" s="7" t="s">
        <v>78</v>
      </c>
      <c r="I6" s="7" t="s">
        <v>79</v>
      </c>
      <c r="J6" s="7" t="s">
        <v>80</v>
      </c>
      <c r="K6" s="7" t="s">
        <v>81</v>
      </c>
      <c r="L6" s="7" t="s">
        <v>82</v>
      </c>
      <c r="M6" s="7" t="s">
        <v>83</v>
      </c>
      <c r="N6" s="16" t="s">
        <v>84</v>
      </c>
      <c r="O6" s="16" t="s">
        <v>85</v>
      </c>
      <c r="P6" s="17" t="s">
        <v>75</v>
      </c>
      <c r="Q6" s="17" t="s">
        <v>75</v>
      </c>
      <c r="R6" s="17" t="s">
        <v>75</v>
      </c>
      <c r="S6" s="17" t="s">
        <v>75</v>
      </c>
      <c r="T6" s="17" t="s">
        <v>75</v>
      </c>
      <c r="U6" s="17" t="s">
        <v>75</v>
      </c>
    </row>
    <row r="7" spans="1:21" x14ac:dyDescent="0.25">
      <c r="A7" s="6" t="s">
        <v>73</v>
      </c>
      <c r="B7" s="6" t="s">
        <v>74</v>
      </c>
      <c r="C7" s="7" t="s">
        <v>75</v>
      </c>
      <c r="D7" s="7">
        <v>270</v>
      </c>
      <c r="E7" s="14">
        <v>2.25</v>
      </c>
      <c r="F7" s="7" t="s">
        <v>97</v>
      </c>
      <c r="G7" s="15" t="s">
        <v>104</v>
      </c>
      <c r="H7" s="7" t="s">
        <v>78</v>
      </c>
      <c r="I7" s="7" t="s">
        <v>79</v>
      </c>
      <c r="J7" s="7" t="s">
        <v>80</v>
      </c>
      <c r="K7" s="7" t="s">
        <v>105</v>
      </c>
      <c r="L7" s="7" t="s">
        <v>106</v>
      </c>
      <c r="M7" s="7" t="s">
        <v>107</v>
      </c>
      <c r="N7" s="16" t="s">
        <v>84</v>
      </c>
      <c r="O7" s="16" t="s">
        <v>85</v>
      </c>
      <c r="P7" s="17" t="s">
        <v>75</v>
      </c>
      <c r="Q7" s="17" t="s">
        <v>75</v>
      </c>
      <c r="R7" s="17" t="s">
        <v>75</v>
      </c>
      <c r="S7" s="17" t="s">
        <v>75</v>
      </c>
      <c r="T7" s="17" t="s">
        <v>75</v>
      </c>
      <c r="U7" s="17" t="s">
        <v>75</v>
      </c>
    </row>
    <row r="8" spans="1:21" x14ac:dyDescent="0.25">
      <c r="A8" s="6" t="s">
        <v>73</v>
      </c>
      <c r="B8" s="6" t="s">
        <v>74</v>
      </c>
      <c r="C8" s="7" t="s">
        <v>75</v>
      </c>
      <c r="D8" s="7">
        <v>620</v>
      </c>
      <c r="E8" s="14">
        <v>5.17</v>
      </c>
      <c r="F8" s="7" t="s">
        <v>92</v>
      </c>
      <c r="G8" s="15" t="s">
        <v>108</v>
      </c>
      <c r="H8" s="7" t="s">
        <v>78</v>
      </c>
      <c r="I8" s="7" t="s">
        <v>79</v>
      </c>
      <c r="J8" s="7" t="s">
        <v>80</v>
      </c>
      <c r="K8" s="7" t="s">
        <v>94</v>
      </c>
      <c r="L8" s="7" t="s">
        <v>95</v>
      </c>
      <c r="M8" s="7" t="s">
        <v>96</v>
      </c>
      <c r="N8" s="16" t="s">
        <v>84</v>
      </c>
      <c r="O8" s="16" t="s">
        <v>85</v>
      </c>
      <c r="P8" s="17" t="s">
        <v>75</v>
      </c>
      <c r="Q8" s="17" t="s">
        <v>75</v>
      </c>
      <c r="R8" s="17" t="s">
        <v>75</v>
      </c>
      <c r="S8" s="17" t="s">
        <v>75</v>
      </c>
      <c r="T8" s="17" t="s">
        <v>75</v>
      </c>
      <c r="U8" s="17" t="s">
        <v>75</v>
      </c>
    </row>
    <row r="9" spans="1:21" x14ac:dyDescent="0.25">
      <c r="A9" s="7" t="s">
        <v>109</v>
      </c>
      <c r="B9" s="7" t="s">
        <v>110</v>
      </c>
      <c r="C9" s="7" t="s">
        <v>75</v>
      </c>
      <c r="D9" s="7">
        <v>185</v>
      </c>
      <c r="E9" s="14">
        <v>0.39</v>
      </c>
      <c r="F9" s="7" t="s">
        <v>111</v>
      </c>
      <c r="G9" s="15" t="s">
        <v>112</v>
      </c>
      <c r="H9" s="7" t="s">
        <v>113</v>
      </c>
      <c r="I9" s="7" t="s">
        <v>79</v>
      </c>
      <c r="J9" s="7" t="s">
        <v>114</v>
      </c>
      <c r="K9" s="7" t="s">
        <v>115</v>
      </c>
      <c r="L9" s="7" t="s">
        <v>116</v>
      </c>
      <c r="M9" s="7" t="s">
        <v>117</v>
      </c>
      <c r="N9" s="16" t="s">
        <v>84</v>
      </c>
      <c r="O9" s="16" t="s">
        <v>85</v>
      </c>
      <c r="P9" s="17" t="s">
        <v>75</v>
      </c>
      <c r="Q9" s="17" t="s">
        <v>75</v>
      </c>
      <c r="R9" s="17" t="s">
        <v>75</v>
      </c>
      <c r="S9" s="17" t="s">
        <v>75</v>
      </c>
      <c r="T9" s="17" t="s">
        <v>75</v>
      </c>
      <c r="U9" s="17" t="s">
        <v>75</v>
      </c>
    </row>
    <row r="10" spans="1:21" x14ac:dyDescent="0.25">
      <c r="A10" s="7" t="s">
        <v>109</v>
      </c>
      <c r="B10" s="7" t="s">
        <v>110</v>
      </c>
      <c r="C10" s="7" t="s">
        <v>75</v>
      </c>
      <c r="D10" s="7">
        <v>185</v>
      </c>
      <c r="E10" s="14">
        <v>0.39</v>
      </c>
      <c r="F10" s="7" t="s">
        <v>110</v>
      </c>
      <c r="G10" s="15" t="s">
        <v>118</v>
      </c>
      <c r="H10" s="7" t="s">
        <v>113</v>
      </c>
      <c r="I10" s="7" t="s">
        <v>79</v>
      </c>
      <c r="J10" s="7" t="s">
        <v>114</v>
      </c>
      <c r="K10" s="7" t="s">
        <v>115</v>
      </c>
      <c r="L10" s="7" t="s">
        <v>116</v>
      </c>
      <c r="M10" s="7" t="s">
        <v>117</v>
      </c>
      <c r="N10" s="16" t="s">
        <v>84</v>
      </c>
      <c r="O10" s="16" t="s">
        <v>85</v>
      </c>
      <c r="P10" s="17" t="s">
        <v>75</v>
      </c>
      <c r="Q10" s="17" t="s">
        <v>75</v>
      </c>
      <c r="R10" s="17" t="s">
        <v>75</v>
      </c>
      <c r="S10" s="17" t="s">
        <v>75</v>
      </c>
      <c r="T10" s="17" t="s">
        <v>75</v>
      </c>
      <c r="U10" s="17" t="s">
        <v>75</v>
      </c>
    </row>
    <row r="11" spans="1:21" x14ac:dyDescent="0.25">
      <c r="A11" s="7" t="s">
        <v>109</v>
      </c>
      <c r="B11" s="7" t="s">
        <v>110</v>
      </c>
      <c r="C11" s="7" t="s">
        <v>75</v>
      </c>
      <c r="D11" s="7">
        <v>250</v>
      </c>
      <c r="E11" s="7">
        <v>0.53</v>
      </c>
      <c r="F11" s="7" t="s">
        <v>111</v>
      </c>
      <c r="G11" s="15" t="s">
        <v>119</v>
      </c>
      <c r="H11" s="7" t="s">
        <v>113</v>
      </c>
      <c r="I11" s="7" t="s">
        <v>120</v>
      </c>
      <c r="J11" s="7" t="s">
        <v>121</v>
      </c>
      <c r="K11" s="7" t="s">
        <v>122</v>
      </c>
      <c r="L11" s="7" t="s">
        <v>123</v>
      </c>
      <c r="M11" s="7" t="s">
        <v>124</v>
      </c>
      <c r="N11" s="16" t="s">
        <v>84</v>
      </c>
      <c r="O11" s="16" t="s">
        <v>85</v>
      </c>
      <c r="P11" s="17" t="s">
        <v>75</v>
      </c>
      <c r="Q11" s="17" t="s">
        <v>75</v>
      </c>
      <c r="R11" s="17" t="s">
        <v>75</v>
      </c>
      <c r="S11" s="17" t="s">
        <v>75</v>
      </c>
      <c r="T11" s="17" t="s">
        <v>75</v>
      </c>
      <c r="U11" s="17" t="s">
        <v>75</v>
      </c>
    </row>
    <row r="12" spans="1:21" x14ac:dyDescent="0.25">
      <c r="A12" s="7" t="s">
        <v>109</v>
      </c>
      <c r="B12" s="7" t="s">
        <v>110</v>
      </c>
      <c r="C12" s="7" t="s">
        <v>75</v>
      </c>
      <c r="D12" s="7">
        <v>270</v>
      </c>
      <c r="E12" s="7">
        <v>0.57</v>
      </c>
      <c r="F12" s="7" t="s">
        <v>110</v>
      </c>
      <c r="G12" s="15" t="s">
        <v>125</v>
      </c>
      <c r="H12" s="7" t="s">
        <v>113</v>
      </c>
      <c r="I12" s="7" t="s">
        <v>126</v>
      </c>
      <c r="J12" s="7" t="s">
        <v>121</v>
      </c>
      <c r="K12" s="7" t="s">
        <v>127</v>
      </c>
      <c r="L12" s="7" t="s">
        <v>128</v>
      </c>
      <c r="M12" s="7" t="s">
        <v>129</v>
      </c>
      <c r="N12" s="16" t="s">
        <v>84</v>
      </c>
      <c r="O12" s="16" t="s">
        <v>85</v>
      </c>
      <c r="P12" s="17" t="s">
        <v>75</v>
      </c>
      <c r="Q12" s="17" t="s">
        <v>75</v>
      </c>
      <c r="R12" s="17" t="s">
        <v>75</v>
      </c>
      <c r="S12" s="17" t="s">
        <v>75</v>
      </c>
      <c r="T12" s="17" t="s">
        <v>75</v>
      </c>
      <c r="U12" s="17" t="s">
        <v>75</v>
      </c>
    </row>
    <row r="13" spans="1:21" x14ac:dyDescent="0.25">
      <c r="A13" s="7" t="s">
        <v>109</v>
      </c>
      <c r="B13" s="7" t="s">
        <v>110</v>
      </c>
      <c r="C13" s="7" t="s">
        <v>75</v>
      </c>
      <c r="D13" s="7">
        <v>270</v>
      </c>
      <c r="E13" s="7">
        <v>0.57</v>
      </c>
      <c r="F13" s="7" t="s">
        <v>130</v>
      </c>
      <c r="G13" s="15" t="s">
        <v>131</v>
      </c>
      <c r="H13" s="7" t="s">
        <v>113</v>
      </c>
      <c r="I13" s="7" t="s">
        <v>126</v>
      </c>
      <c r="J13" s="7" t="s">
        <v>121</v>
      </c>
      <c r="K13" s="7" t="s">
        <v>127</v>
      </c>
      <c r="L13" s="7" t="s">
        <v>128</v>
      </c>
      <c r="M13" s="7" t="s">
        <v>129</v>
      </c>
      <c r="N13" s="16" t="s">
        <v>84</v>
      </c>
      <c r="O13" s="16" t="s">
        <v>85</v>
      </c>
      <c r="P13" s="17" t="s">
        <v>75</v>
      </c>
      <c r="Q13" s="17" t="s">
        <v>75</v>
      </c>
      <c r="R13" s="17" t="s">
        <v>75</v>
      </c>
      <c r="S13" s="17" t="s">
        <v>75</v>
      </c>
      <c r="T13" s="17" t="s">
        <v>75</v>
      </c>
      <c r="U13" s="17" t="s">
        <v>75</v>
      </c>
    </row>
    <row r="14" spans="1:21" x14ac:dyDescent="0.25">
      <c r="A14" s="7" t="s">
        <v>109</v>
      </c>
      <c r="B14" s="7" t="s">
        <v>110</v>
      </c>
      <c r="C14" s="7" t="s">
        <v>75</v>
      </c>
      <c r="D14" s="7">
        <v>380</v>
      </c>
      <c r="E14" s="7">
        <v>0.8</v>
      </c>
      <c r="F14" s="7" t="s">
        <v>110</v>
      </c>
      <c r="G14" s="15" t="s">
        <v>132</v>
      </c>
      <c r="H14" s="7" t="s">
        <v>113</v>
      </c>
      <c r="I14" s="7" t="s">
        <v>133</v>
      </c>
      <c r="J14" s="7" t="s">
        <v>121</v>
      </c>
      <c r="K14" s="7" t="s">
        <v>134</v>
      </c>
      <c r="L14" s="7" t="s">
        <v>135</v>
      </c>
      <c r="M14" s="7" t="s">
        <v>136</v>
      </c>
      <c r="N14" s="16" t="s">
        <v>84</v>
      </c>
      <c r="O14" s="16" t="s">
        <v>85</v>
      </c>
      <c r="P14" s="17" t="s">
        <v>75</v>
      </c>
      <c r="Q14" s="17" t="s">
        <v>75</v>
      </c>
      <c r="R14" s="17" t="s">
        <v>75</v>
      </c>
      <c r="S14" s="17" t="s">
        <v>75</v>
      </c>
      <c r="T14" s="17" t="s">
        <v>75</v>
      </c>
      <c r="U14" s="17" t="s">
        <v>75</v>
      </c>
    </row>
    <row r="15" spans="1:21" x14ac:dyDescent="0.25">
      <c r="A15" s="7" t="s">
        <v>109</v>
      </c>
      <c r="B15" s="7" t="s">
        <v>110</v>
      </c>
      <c r="C15" s="7" t="s">
        <v>75</v>
      </c>
      <c r="D15" s="7">
        <v>450</v>
      </c>
      <c r="E15" s="7">
        <v>0.95</v>
      </c>
      <c r="F15" s="7" t="s">
        <v>137</v>
      </c>
      <c r="G15" s="15" t="s">
        <v>131</v>
      </c>
      <c r="H15" s="7" t="s">
        <v>113</v>
      </c>
      <c r="I15" s="7" t="s">
        <v>79</v>
      </c>
      <c r="J15" s="7" t="s">
        <v>138</v>
      </c>
      <c r="K15" s="7" t="s">
        <v>139</v>
      </c>
      <c r="L15" s="7" t="s">
        <v>140</v>
      </c>
      <c r="M15" s="7" t="s">
        <v>141</v>
      </c>
      <c r="N15" s="16" t="s">
        <v>84</v>
      </c>
      <c r="O15" s="16" t="s">
        <v>85</v>
      </c>
      <c r="P15" s="17" t="s">
        <v>75</v>
      </c>
      <c r="Q15" s="17" t="s">
        <v>75</v>
      </c>
      <c r="R15" s="17" t="s">
        <v>75</v>
      </c>
      <c r="S15" s="17" t="s">
        <v>75</v>
      </c>
      <c r="T15" s="17" t="s">
        <v>75</v>
      </c>
      <c r="U15" s="17" t="s">
        <v>75</v>
      </c>
    </row>
    <row r="16" spans="1:21" x14ac:dyDescent="0.25">
      <c r="A16" s="7" t="s">
        <v>109</v>
      </c>
      <c r="B16" s="7" t="s">
        <v>110</v>
      </c>
      <c r="C16" s="7" t="s">
        <v>75</v>
      </c>
      <c r="D16" s="7">
        <v>500</v>
      </c>
      <c r="E16" s="7">
        <v>1.05</v>
      </c>
      <c r="F16" s="7" t="s">
        <v>137</v>
      </c>
      <c r="G16" s="15" t="s">
        <v>142</v>
      </c>
      <c r="H16" s="7" t="s">
        <v>113</v>
      </c>
      <c r="I16" s="7" t="s">
        <v>79</v>
      </c>
      <c r="J16" s="7" t="s">
        <v>138</v>
      </c>
      <c r="K16" s="7" t="s">
        <v>143</v>
      </c>
      <c r="L16" s="7" t="s">
        <v>144</v>
      </c>
      <c r="M16" s="7" t="s">
        <v>145</v>
      </c>
      <c r="N16" s="16" t="s">
        <v>84</v>
      </c>
      <c r="O16" s="16" t="s">
        <v>85</v>
      </c>
      <c r="P16" s="17" t="s">
        <v>75</v>
      </c>
      <c r="Q16" s="17" t="s">
        <v>75</v>
      </c>
      <c r="R16" s="17" t="s">
        <v>75</v>
      </c>
      <c r="S16" s="17" t="s">
        <v>75</v>
      </c>
      <c r="T16" s="17" t="s">
        <v>75</v>
      </c>
      <c r="U16" s="17" t="s">
        <v>75</v>
      </c>
    </row>
    <row r="17" spans="1:21" x14ac:dyDescent="0.25">
      <c r="A17" s="7" t="s">
        <v>109</v>
      </c>
      <c r="B17" s="7" t="s">
        <v>110</v>
      </c>
      <c r="C17" s="7" t="s">
        <v>75</v>
      </c>
      <c r="D17" s="7">
        <v>500</v>
      </c>
      <c r="E17" s="7">
        <v>1.05</v>
      </c>
      <c r="F17" s="7" t="s">
        <v>146</v>
      </c>
      <c r="G17" s="15" t="s">
        <v>147</v>
      </c>
      <c r="H17" s="7" t="s">
        <v>113</v>
      </c>
      <c r="I17" s="7" t="s">
        <v>79</v>
      </c>
      <c r="J17" s="7" t="s">
        <v>138</v>
      </c>
      <c r="K17" s="7" t="s">
        <v>143</v>
      </c>
      <c r="L17" s="7" t="s">
        <v>144</v>
      </c>
      <c r="M17" s="7" t="s">
        <v>145</v>
      </c>
      <c r="N17" s="16" t="s">
        <v>84</v>
      </c>
      <c r="O17" s="16" t="s">
        <v>85</v>
      </c>
      <c r="P17" s="17" t="s">
        <v>75</v>
      </c>
      <c r="Q17" s="17" t="s">
        <v>75</v>
      </c>
      <c r="R17" s="17" t="s">
        <v>75</v>
      </c>
      <c r="S17" s="17" t="s">
        <v>75</v>
      </c>
      <c r="T17" s="17" t="s">
        <v>75</v>
      </c>
      <c r="U17" s="17" t="s">
        <v>75</v>
      </c>
    </row>
    <row r="18" spans="1:21" x14ac:dyDescent="0.25">
      <c r="A18" s="7" t="s">
        <v>109</v>
      </c>
      <c r="B18" s="7" t="s">
        <v>110</v>
      </c>
      <c r="C18" s="7" t="s">
        <v>75</v>
      </c>
      <c r="D18" s="7">
        <v>1100</v>
      </c>
      <c r="E18" s="14">
        <v>2.32</v>
      </c>
      <c r="F18" s="7" t="s">
        <v>148</v>
      </c>
      <c r="G18" s="15" t="s">
        <v>149</v>
      </c>
      <c r="H18" s="7" t="s">
        <v>113</v>
      </c>
      <c r="I18" s="7" t="s">
        <v>79</v>
      </c>
      <c r="J18" s="7" t="s">
        <v>138</v>
      </c>
      <c r="K18" s="7" t="s">
        <v>150</v>
      </c>
      <c r="L18" s="7" t="s">
        <v>151</v>
      </c>
      <c r="M18" s="7" t="s">
        <v>152</v>
      </c>
      <c r="N18" s="16" t="s">
        <v>84</v>
      </c>
      <c r="O18" s="16" t="s">
        <v>85</v>
      </c>
      <c r="P18" s="17" t="s">
        <v>75</v>
      </c>
      <c r="Q18" s="17" t="s">
        <v>75</v>
      </c>
      <c r="R18" s="17" t="s">
        <v>75</v>
      </c>
      <c r="S18" s="17" t="s">
        <v>75</v>
      </c>
      <c r="T18" s="17" t="s">
        <v>75</v>
      </c>
      <c r="U18" s="17" t="s">
        <v>75</v>
      </c>
    </row>
    <row r="19" spans="1:21" x14ac:dyDescent="0.25">
      <c r="A19" s="7" t="s">
        <v>109</v>
      </c>
      <c r="B19" s="7" t="s">
        <v>110</v>
      </c>
      <c r="C19" s="7" t="s">
        <v>75</v>
      </c>
      <c r="D19" s="7">
        <v>1350</v>
      </c>
      <c r="E19" s="14">
        <v>2.84</v>
      </c>
      <c r="F19" s="7" t="s">
        <v>146</v>
      </c>
      <c r="G19" s="15" t="s">
        <v>153</v>
      </c>
      <c r="H19" s="7" t="s">
        <v>113</v>
      </c>
      <c r="I19" s="7" t="s">
        <v>154</v>
      </c>
      <c r="J19" s="7" t="s">
        <v>138</v>
      </c>
      <c r="K19" s="7" t="s">
        <v>155</v>
      </c>
      <c r="L19" s="7" t="s">
        <v>156</v>
      </c>
      <c r="M19" s="7" t="s">
        <v>157</v>
      </c>
      <c r="N19" s="16" t="s">
        <v>84</v>
      </c>
      <c r="O19" s="16" t="s">
        <v>85</v>
      </c>
      <c r="P19" s="17" t="s">
        <v>75</v>
      </c>
      <c r="Q19" s="17" t="s">
        <v>75</v>
      </c>
      <c r="R19" s="17" t="s">
        <v>75</v>
      </c>
      <c r="S19" s="17" t="s">
        <v>75</v>
      </c>
      <c r="T19" s="17" t="s">
        <v>75</v>
      </c>
      <c r="U19" s="17" t="s">
        <v>75</v>
      </c>
    </row>
    <row r="20" spans="1:21" x14ac:dyDescent="0.25">
      <c r="A20" s="7" t="s">
        <v>109</v>
      </c>
      <c r="B20" s="7" t="s">
        <v>110</v>
      </c>
      <c r="C20" s="7" t="s">
        <v>75</v>
      </c>
      <c r="D20" s="7">
        <v>1350</v>
      </c>
      <c r="E20" s="14">
        <v>2.84</v>
      </c>
      <c r="F20" s="7" t="s">
        <v>137</v>
      </c>
      <c r="G20" s="15" t="s">
        <v>158</v>
      </c>
      <c r="H20" s="7" t="s">
        <v>113</v>
      </c>
      <c r="I20" s="7" t="s">
        <v>79</v>
      </c>
      <c r="J20" s="7" t="s">
        <v>138</v>
      </c>
      <c r="K20" s="7" t="s">
        <v>159</v>
      </c>
      <c r="L20" s="7" t="s">
        <v>160</v>
      </c>
      <c r="M20" s="7" t="s">
        <v>161</v>
      </c>
      <c r="N20" s="16" t="s">
        <v>84</v>
      </c>
      <c r="O20" s="16" t="s">
        <v>85</v>
      </c>
      <c r="P20" s="17" t="s">
        <v>75</v>
      </c>
      <c r="Q20" s="17" t="s">
        <v>75</v>
      </c>
      <c r="R20" s="17" t="s">
        <v>75</v>
      </c>
      <c r="S20" s="17" t="s">
        <v>75</v>
      </c>
      <c r="T20" s="17" t="s">
        <v>75</v>
      </c>
      <c r="U20" s="17" t="s">
        <v>75</v>
      </c>
    </row>
    <row r="21" spans="1:21" x14ac:dyDescent="0.25">
      <c r="A21" s="7" t="s">
        <v>109</v>
      </c>
      <c r="B21" s="7" t="s">
        <v>110</v>
      </c>
      <c r="C21" s="7" t="s">
        <v>75</v>
      </c>
      <c r="D21" s="7">
        <v>1600</v>
      </c>
      <c r="E21" s="14">
        <v>3.37</v>
      </c>
      <c r="F21" s="7" t="s">
        <v>111</v>
      </c>
      <c r="G21" s="15" t="s">
        <v>162</v>
      </c>
      <c r="H21" s="7" t="s">
        <v>113</v>
      </c>
      <c r="I21" s="7" t="s">
        <v>79</v>
      </c>
      <c r="J21" s="7" t="s">
        <v>138</v>
      </c>
      <c r="K21" s="7" t="s">
        <v>163</v>
      </c>
      <c r="L21" s="7" t="s">
        <v>164</v>
      </c>
      <c r="M21" s="7" t="s">
        <v>165</v>
      </c>
      <c r="N21" s="16" t="s">
        <v>84</v>
      </c>
      <c r="O21" s="16" t="s">
        <v>85</v>
      </c>
      <c r="P21" s="17" t="s">
        <v>75</v>
      </c>
      <c r="Q21" s="17" t="s">
        <v>75</v>
      </c>
      <c r="R21" s="17" t="s">
        <v>75</v>
      </c>
      <c r="S21" s="17" t="s">
        <v>75</v>
      </c>
      <c r="T21" s="17" t="s">
        <v>75</v>
      </c>
      <c r="U21" s="17" t="s">
        <v>75</v>
      </c>
    </row>
    <row r="22" spans="1:21" x14ac:dyDescent="0.25">
      <c r="A22" s="7" t="s">
        <v>109</v>
      </c>
      <c r="B22" s="7" t="s">
        <v>110</v>
      </c>
      <c r="C22" s="7" t="s">
        <v>75</v>
      </c>
      <c r="D22" s="7">
        <v>3600</v>
      </c>
      <c r="E22" s="14">
        <v>7.58</v>
      </c>
      <c r="F22" s="7" t="s">
        <v>130</v>
      </c>
      <c r="G22" s="15" t="s">
        <v>166</v>
      </c>
      <c r="H22" s="7" t="s">
        <v>113</v>
      </c>
      <c r="I22" s="7" t="s">
        <v>79</v>
      </c>
      <c r="J22" s="7" t="s">
        <v>80</v>
      </c>
      <c r="K22" s="7" t="s">
        <v>167</v>
      </c>
      <c r="L22" s="7" t="s">
        <v>168</v>
      </c>
      <c r="M22" s="7" t="s">
        <v>169</v>
      </c>
      <c r="N22" s="16" t="s">
        <v>84</v>
      </c>
      <c r="O22" s="16" t="s">
        <v>85</v>
      </c>
      <c r="P22" s="17" t="s">
        <v>75</v>
      </c>
      <c r="Q22" s="17" t="s">
        <v>75</v>
      </c>
      <c r="R22" s="17" t="s">
        <v>75</v>
      </c>
      <c r="S22" s="17" t="s">
        <v>75</v>
      </c>
      <c r="T22" s="17" t="s">
        <v>75</v>
      </c>
      <c r="U22" s="17" t="s">
        <v>75</v>
      </c>
    </row>
    <row r="23" spans="1:21" x14ac:dyDescent="0.25">
      <c r="A23" s="6" t="s">
        <v>170</v>
      </c>
      <c r="B23" s="6" t="s">
        <v>171</v>
      </c>
      <c r="C23" s="7" t="s">
        <v>75</v>
      </c>
      <c r="D23" s="7">
        <v>24.82</v>
      </c>
      <c r="E23" s="14">
        <v>0.06</v>
      </c>
      <c r="F23" s="7" t="s">
        <v>171</v>
      </c>
      <c r="G23" s="15" t="s">
        <v>172</v>
      </c>
      <c r="H23" s="7" t="s">
        <v>173</v>
      </c>
      <c r="I23" s="7" t="s">
        <v>79</v>
      </c>
      <c r="J23" s="7" t="s">
        <v>174</v>
      </c>
      <c r="K23" s="7" t="s">
        <v>175</v>
      </c>
      <c r="L23" s="7" t="s">
        <v>176</v>
      </c>
      <c r="M23" s="7" t="s">
        <v>177</v>
      </c>
      <c r="N23" s="16" t="s">
        <v>84</v>
      </c>
      <c r="O23" s="16" t="s">
        <v>85</v>
      </c>
      <c r="P23" s="17" t="s">
        <v>75</v>
      </c>
      <c r="Q23" s="17" t="s">
        <v>75</v>
      </c>
      <c r="R23" s="17" t="s">
        <v>75</v>
      </c>
      <c r="S23" s="17" t="s">
        <v>75</v>
      </c>
      <c r="T23" s="17" t="s">
        <v>75</v>
      </c>
      <c r="U23" s="17" t="s">
        <v>75</v>
      </c>
    </row>
    <row r="24" spans="1:21" x14ac:dyDescent="0.25">
      <c r="A24" s="6" t="s">
        <v>170</v>
      </c>
      <c r="B24" s="6" t="s">
        <v>171</v>
      </c>
      <c r="C24" s="7" t="s">
        <v>75</v>
      </c>
      <c r="D24" s="7">
        <v>24.82</v>
      </c>
      <c r="E24" s="14">
        <v>0.06</v>
      </c>
      <c r="F24" s="7" t="s">
        <v>171</v>
      </c>
      <c r="G24" s="15" t="s">
        <v>178</v>
      </c>
      <c r="H24" s="7" t="s">
        <v>173</v>
      </c>
      <c r="I24" s="7" t="s">
        <v>179</v>
      </c>
      <c r="J24" s="7" t="s">
        <v>174</v>
      </c>
      <c r="K24" s="7" t="s">
        <v>180</v>
      </c>
      <c r="L24" s="7" t="s">
        <v>181</v>
      </c>
      <c r="M24" s="7" t="s">
        <v>182</v>
      </c>
      <c r="N24" s="16" t="s">
        <v>84</v>
      </c>
      <c r="O24" s="16" t="s">
        <v>85</v>
      </c>
      <c r="P24" s="17" t="s">
        <v>75</v>
      </c>
      <c r="Q24" s="17" t="s">
        <v>75</v>
      </c>
      <c r="R24" s="17" t="s">
        <v>75</v>
      </c>
      <c r="S24" s="17" t="s">
        <v>75</v>
      </c>
      <c r="T24" s="17" t="s">
        <v>75</v>
      </c>
      <c r="U24" s="17" t="s">
        <v>75</v>
      </c>
    </row>
    <row r="25" spans="1:21" x14ac:dyDescent="0.25">
      <c r="A25" s="6" t="s">
        <v>170</v>
      </c>
      <c r="B25" s="6" t="s">
        <v>171</v>
      </c>
      <c r="C25" s="7" t="s">
        <v>75</v>
      </c>
      <c r="D25" s="7">
        <v>24.82</v>
      </c>
      <c r="E25" s="14">
        <v>0.06</v>
      </c>
      <c r="F25" s="7" t="s">
        <v>171</v>
      </c>
      <c r="G25" s="15" t="s">
        <v>178</v>
      </c>
      <c r="H25" s="7" t="s">
        <v>173</v>
      </c>
      <c r="I25" s="7" t="s">
        <v>179</v>
      </c>
      <c r="J25" s="7" t="s">
        <v>173</v>
      </c>
      <c r="K25" s="7" t="s">
        <v>75</v>
      </c>
      <c r="L25" s="7" t="s">
        <v>75</v>
      </c>
      <c r="M25" s="7" t="s">
        <v>183</v>
      </c>
      <c r="N25" s="16" t="s">
        <v>84</v>
      </c>
      <c r="O25" s="16" t="s">
        <v>85</v>
      </c>
      <c r="P25" s="17" t="s">
        <v>75</v>
      </c>
      <c r="Q25" s="17" t="s">
        <v>75</v>
      </c>
      <c r="R25" s="17" t="s">
        <v>75</v>
      </c>
      <c r="S25" s="17" t="s">
        <v>75</v>
      </c>
      <c r="T25" s="17" t="s">
        <v>75</v>
      </c>
      <c r="U25" s="17" t="s">
        <v>75</v>
      </c>
    </row>
    <row r="26" spans="1:21" x14ac:dyDescent="0.25">
      <c r="A26" s="6" t="s">
        <v>170</v>
      </c>
      <c r="B26" s="6" t="s">
        <v>171</v>
      </c>
      <c r="C26" s="7" t="s">
        <v>75</v>
      </c>
      <c r="D26" s="7">
        <v>436.29</v>
      </c>
      <c r="E26" s="7">
        <v>1</v>
      </c>
      <c r="F26" s="7" t="s">
        <v>184</v>
      </c>
      <c r="G26" s="15" t="s">
        <v>185</v>
      </c>
      <c r="H26" s="7" t="s">
        <v>173</v>
      </c>
      <c r="I26" s="7" t="s">
        <v>79</v>
      </c>
      <c r="J26" s="7" t="s">
        <v>174</v>
      </c>
      <c r="K26" s="7" t="s">
        <v>175</v>
      </c>
      <c r="L26" s="7" t="s">
        <v>176</v>
      </c>
      <c r="M26" s="7" t="s">
        <v>177</v>
      </c>
      <c r="N26" s="16" t="s">
        <v>84</v>
      </c>
      <c r="O26" s="16" t="s">
        <v>85</v>
      </c>
      <c r="P26" s="17" t="s">
        <v>75</v>
      </c>
      <c r="Q26" s="17" t="s">
        <v>75</v>
      </c>
      <c r="R26" s="17" t="s">
        <v>75</v>
      </c>
      <c r="S26" s="17" t="s">
        <v>75</v>
      </c>
      <c r="T26" s="17" t="s">
        <v>75</v>
      </c>
      <c r="U26" s="17" t="s">
        <v>75</v>
      </c>
    </row>
    <row r="27" spans="1:21" x14ac:dyDescent="0.25">
      <c r="A27" s="6" t="s">
        <v>170</v>
      </c>
      <c r="B27" s="6" t="s">
        <v>171</v>
      </c>
      <c r="C27" s="7" t="s">
        <v>75</v>
      </c>
      <c r="D27" s="7">
        <v>436.29</v>
      </c>
      <c r="E27" s="7">
        <v>1</v>
      </c>
      <c r="F27" s="7" t="s">
        <v>184</v>
      </c>
      <c r="G27" s="15" t="s">
        <v>185</v>
      </c>
      <c r="H27" s="7" t="s">
        <v>173</v>
      </c>
      <c r="I27" s="7" t="s">
        <v>179</v>
      </c>
      <c r="J27" s="7" t="s">
        <v>174</v>
      </c>
      <c r="K27" s="7" t="s">
        <v>180</v>
      </c>
      <c r="L27" s="7" t="s">
        <v>181</v>
      </c>
      <c r="M27" s="7" t="s">
        <v>182</v>
      </c>
      <c r="N27" s="16" t="s">
        <v>84</v>
      </c>
      <c r="O27" s="16" t="s">
        <v>85</v>
      </c>
      <c r="P27" s="17" t="s">
        <v>75</v>
      </c>
      <c r="Q27" s="17" t="s">
        <v>75</v>
      </c>
      <c r="R27" s="17" t="s">
        <v>75</v>
      </c>
      <c r="S27" s="17" t="s">
        <v>75</v>
      </c>
      <c r="T27" s="17" t="s">
        <v>75</v>
      </c>
      <c r="U27" s="17" t="s">
        <v>75</v>
      </c>
    </row>
    <row r="28" spans="1:21" x14ac:dyDescent="0.25">
      <c r="A28" s="6" t="s">
        <v>170</v>
      </c>
      <c r="B28" s="6" t="s">
        <v>171</v>
      </c>
      <c r="C28" s="7" t="s">
        <v>75</v>
      </c>
      <c r="D28" s="7">
        <v>436.29</v>
      </c>
      <c r="E28" s="7">
        <v>1</v>
      </c>
      <c r="F28" s="7" t="s">
        <v>184</v>
      </c>
      <c r="G28" s="15" t="s">
        <v>185</v>
      </c>
      <c r="H28" s="7" t="s">
        <v>173</v>
      </c>
      <c r="I28" s="7" t="s">
        <v>179</v>
      </c>
      <c r="J28" s="7" t="s">
        <v>173</v>
      </c>
      <c r="K28" s="7" t="s">
        <v>75</v>
      </c>
      <c r="L28" s="7" t="s">
        <v>75</v>
      </c>
      <c r="M28" s="7" t="s">
        <v>183</v>
      </c>
      <c r="N28" s="16" t="s">
        <v>84</v>
      </c>
      <c r="O28" s="16" t="s">
        <v>85</v>
      </c>
      <c r="P28" s="17" t="s">
        <v>75</v>
      </c>
      <c r="Q28" s="17" t="s">
        <v>75</v>
      </c>
      <c r="R28" s="17" t="s">
        <v>75</v>
      </c>
      <c r="S28" s="17" t="s">
        <v>75</v>
      </c>
      <c r="T28" s="17" t="s">
        <v>75</v>
      </c>
      <c r="U28" s="17" t="s">
        <v>75</v>
      </c>
    </row>
    <row r="29" spans="1:21" x14ac:dyDescent="0.25">
      <c r="A29" s="6" t="s">
        <v>170</v>
      </c>
      <c r="B29" s="6" t="s">
        <v>171</v>
      </c>
      <c r="C29" s="7" t="s">
        <v>75</v>
      </c>
      <c r="D29" s="7">
        <v>436.29</v>
      </c>
      <c r="E29" s="7">
        <v>1</v>
      </c>
      <c r="F29" s="7" t="s">
        <v>184</v>
      </c>
      <c r="G29" s="15" t="s">
        <v>185</v>
      </c>
      <c r="H29" s="7" t="s">
        <v>173</v>
      </c>
      <c r="I29" s="7" t="s">
        <v>79</v>
      </c>
      <c r="J29" s="7" t="s">
        <v>173</v>
      </c>
      <c r="K29" s="7" t="s">
        <v>75</v>
      </c>
      <c r="L29" s="7" t="s">
        <v>186</v>
      </c>
      <c r="M29" s="7" t="s">
        <v>183</v>
      </c>
      <c r="N29" s="16" t="s">
        <v>84</v>
      </c>
      <c r="O29" s="16" t="s">
        <v>85</v>
      </c>
      <c r="P29" s="17" t="s">
        <v>75</v>
      </c>
      <c r="Q29" s="17" t="s">
        <v>75</v>
      </c>
      <c r="R29" s="17" t="s">
        <v>75</v>
      </c>
      <c r="S29" s="17" t="s">
        <v>75</v>
      </c>
      <c r="T29" s="17" t="s">
        <v>75</v>
      </c>
      <c r="U29" s="17" t="s">
        <v>75</v>
      </c>
    </row>
    <row r="30" spans="1:21" x14ac:dyDescent="0.25">
      <c r="A30" s="7" t="s">
        <v>187</v>
      </c>
      <c r="B30" s="7" t="s">
        <v>188</v>
      </c>
      <c r="C30" s="7" t="s">
        <v>75</v>
      </c>
      <c r="D30" s="7">
        <v>10</v>
      </c>
      <c r="E30" s="14">
        <v>0.24</v>
      </c>
      <c r="F30" s="7" t="s">
        <v>188</v>
      </c>
      <c r="G30" s="15" t="s">
        <v>189</v>
      </c>
      <c r="H30" s="7" t="s">
        <v>78</v>
      </c>
      <c r="I30" s="7" t="s">
        <v>79</v>
      </c>
      <c r="J30" s="7" t="s">
        <v>87</v>
      </c>
      <c r="K30" s="7" t="s">
        <v>190</v>
      </c>
      <c r="L30" s="7" t="s">
        <v>191</v>
      </c>
      <c r="M30" s="18" t="s">
        <v>90</v>
      </c>
      <c r="N30" s="7" t="s">
        <v>91</v>
      </c>
      <c r="O30" s="16" t="s">
        <v>85</v>
      </c>
      <c r="P30" s="17" t="s">
        <v>75</v>
      </c>
      <c r="Q30" s="17" t="s">
        <v>75</v>
      </c>
      <c r="R30" s="17" t="s">
        <v>75</v>
      </c>
      <c r="S30" s="17" t="s">
        <v>75</v>
      </c>
      <c r="T30" s="17" t="s">
        <v>75</v>
      </c>
      <c r="U30" s="17" t="s">
        <v>75</v>
      </c>
    </row>
    <row r="31" spans="1:21" x14ac:dyDescent="0.25">
      <c r="A31" s="7" t="s">
        <v>187</v>
      </c>
      <c r="B31" s="7" t="s">
        <v>188</v>
      </c>
      <c r="C31" s="7" t="s">
        <v>75</v>
      </c>
      <c r="D31" s="7">
        <v>20</v>
      </c>
      <c r="E31" s="14">
        <v>0.47</v>
      </c>
      <c r="F31" s="7" t="s">
        <v>192</v>
      </c>
      <c r="G31" s="15" t="s">
        <v>193</v>
      </c>
      <c r="H31" s="7" t="s">
        <v>78</v>
      </c>
      <c r="I31" s="7" t="s">
        <v>79</v>
      </c>
      <c r="J31" s="7" t="s">
        <v>80</v>
      </c>
      <c r="K31" s="7" t="s">
        <v>105</v>
      </c>
      <c r="L31" s="7" t="s">
        <v>106</v>
      </c>
      <c r="M31" s="7" t="s">
        <v>107</v>
      </c>
      <c r="N31" s="16" t="s">
        <v>84</v>
      </c>
      <c r="O31" s="16" t="s">
        <v>85</v>
      </c>
      <c r="P31" s="17" t="s">
        <v>75</v>
      </c>
      <c r="Q31" s="17" t="s">
        <v>75</v>
      </c>
      <c r="R31" s="17" t="s">
        <v>75</v>
      </c>
      <c r="S31" s="17" t="s">
        <v>75</v>
      </c>
      <c r="T31" s="17" t="s">
        <v>75</v>
      </c>
      <c r="U31" s="17" t="s">
        <v>75</v>
      </c>
    </row>
    <row r="32" spans="1:21" x14ac:dyDescent="0.25">
      <c r="A32" s="7" t="s">
        <v>187</v>
      </c>
      <c r="B32" s="7" t="s">
        <v>188</v>
      </c>
      <c r="C32" s="7" t="s">
        <v>75</v>
      </c>
      <c r="D32" s="7">
        <v>65</v>
      </c>
      <c r="E32" s="7">
        <v>1.53</v>
      </c>
      <c r="F32" s="7" t="s">
        <v>194</v>
      </c>
      <c r="G32" s="15" t="s">
        <v>195</v>
      </c>
      <c r="H32" s="7" t="s">
        <v>78</v>
      </c>
      <c r="I32" s="7" t="s">
        <v>79</v>
      </c>
      <c r="J32" s="7" t="s">
        <v>196</v>
      </c>
      <c r="K32" s="7" t="s">
        <v>197</v>
      </c>
      <c r="L32" s="7" t="s">
        <v>198</v>
      </c>
      <c r="M32" s="7" t="s">
        <v>199</v>
      </c>
      <c r="N32" s="16" t="s">
        <v>84</v>
      </c>
      <c r="O32" s="16" t="s">
        <v>85</v>
      </c>
      <c r="P32" s="17" t="s">
        <v>75</v>
      </c>
      <c r="Q32" s="17" t="s">
        <v>75</v>
      </c>
      <c r="R32" s="17" t="s">
        <v>75</v>
      </c>
      <c r="S32" s="17" t="s">
        <v>75</v>
      </c>
      <c r="T32" s="17" t="s">
        <v>75</v>
      </c>
      <c r="U32" s="17" t="s">
        <v>75</v>
      </c>
    </row>
    <row r="33" spans="1:21" x14ac:dyDescent="0.25">
      <c r="A33" s="7" t="s">
        <v>187</v>
      </c>
      <c r="B33" s="7" t="s">
        <v>188</v>
      </c>
      <c r="C33" s="7" t="s">
        <v>75</v>
      </c>
      <c r="D33" s="7">
        <v>65</v>
      </c>
      <c r="E33" s="7">
        <v>1.53</v>
      </c>
      <c r="F33" s="7" t="s">
        <v>200</v>
      </c>
      <c r="G33" s="15" t="s">
        <v>201</v>
      </c>
      <c r="H33" s="7" t="s">
        <v>78</v>
      </c>
      <c r="I33" s="7" t="s">
        <v>79</v>
      </c>
      <c r="J33" s="7" t="s">
        <v>196</v>
      </c>
      <c r="K33" s="7" t="s">
        <v>197</v>
      </c>
      <c r="L33" s="7" t="s">
        <v>198</v>
      </c>
      <c r="M33" s="7" t="s">
        <v>199</v>
      </c>
      <c r="N33" s="16" t="s">
        <v>84</v>
      </c>
      <c r="O33" s="16" t="s">
        <v>85</v>
      </c>
      <c r="P33" s="17" t="s">
        <v>75</v>
      </c>
      <c r="Q33" s="17" t="s">
        <v>75</v>
      </c>
      <c r="R33" s="17" t="s">
        <v>75</v>
      </c>
      <c r="S33" s="17" t="s">
        <v>75</v>
      </c>
      <c r="T33" s="17" t="s">
        <v>75</v>
      </c>
      <c r="U33" s="17" t="s">
        <v>75</v>
      </c>
    </row>
    <row r="34" spans="1:21" x14ac:dyDescent="0.25">
      <c r="A34" s="6" t="s">
        <v>202</v>
      </c>
      <c r="B34" s="6" t="s">
        <v>203</v>
      </c>
      <c r="C34" s="7" t="s">
        <v>75</v>
      </c>
      <c r="D34" s="7">
        <v>20</v>
      </c>
      <c r="E34" s="14">
        <v>0.21</v>
      </c>
      <c r="F34" s="7" t="s">
        <v>204</v>
      </c>
      <c r="G34" s="15" t="s">
        <v>205</v>
      </c>
      <c r="H34" s="7" t="s">
        <v>206</v>
      </c>
      <c r="I34" s="7" t="s">
        <v>207</v>
      </c>
      <c r="J34" s="7" t="s">
        <v>208</v>
      </c>
      <c r="K34" s="7" t="s">
        <v>209</v>
      </c>
      <c r="L34" s="7" t="s">
        <v>210</v>
      </c>
      <c r="M34" s="18" t="s">
        <v>90</v>
      </c>
      <c r="N34" s="7" t="s">
        <v>91</v>
      </c>
      <c r="O34" s="16" t="s">
        <v>85</v>
      </c>
      <c r="P34" s="17" t="s">
        <v>75</v>
      </c>
      <c r="Q34" s="17" t="s">
        <v>75</v>
      </c>
      <c r="R34" s="17" t="s">
        <v>75</v>
      </c>
      <c r="S34" s="17" t="s">
        <v>75</v>
      </c>
      <c r="T34" s="17" t="s">
        <v>75</v>
      </c>
      <c r="U34" s="17" t="s">
        <v>75</v>
      </c>
    </row>
    <row r="35" spans="1:21" x14ac:dyDescent="0.25">
      <c r="A35" s="6" t="s">
        <v>202</v>
      </c>
      <c r="B35" s="6" t="s">
        <v>203</v>
      </c>
      <c r="C35" s="7" t="s">
        <v>75</v>
      </c>
      <c r="D35" s="7">
        <v>95</v>
      </c>
      <c r="E35" s="7">
        <v>1</v>
      </c>
      <c r="F35" s="7" t="s">
        <v>203</v>
      </c>
      <c r="G35" s="15" t="s">
        <v>211</v>
      </c>
      <c r="H35" s="7" t="s">
        <v>206</v>
      </c>
      <c r="I35" s="7" t="s">
        <v>207</v>
      </c>
      <c r="J35" s="7" t="s">
        <v>208</v>
      </c>
      <c r="K35" s="7" t="s">
        <v>212</v>
      </c>
      <c r="L35" s="7" t="s">
        <v>213</v>
      </c>
      <c r="M35" s="18" t="s">
        <v>90</v>
      </c>
      <c r="N35" s="7" t="s">
        <v>91</v>
      </c>
      <c r="O35" s="16" t="s">
        <v>85</v>
      </c>
      <c r="P35" s="17" t="s">
        <v>75</v>
      </c>
      <c r="Q35" s="17" t="s">
        <v>75</v>
      </c>
      <c r="R35" s="17" t="s">
        <v>75</v>
      </c>
      <c r="S35" s="17" t="s">
        <v>75</v>
      </c>
      <c r="T35" s="17" t="s">
        <v>75</v>
      </c>
      <c r="U35" s="17" t="s">
        <v>75</v>
      </c>
    </row>
    <row r="36" spans="1:21" x14ac:dyDescent="0.25">
      <c r="A36" s="6" t="s">
        <v>202</v>
      </c>
      <c r="B36" s="6" t="s">
        <v>203</v>
      </c>
      <c r="C36" s="7" t="s">
        <v>75</v>
      </c>
      <c r="D36" s="7">
        <v>95</v>
      </c>
      <c r="E36" s="7">
        <v>1</v>
      </c>
      <c r="F36" s="7" t="s">
        <v>214</v>
      </c>
      <c r="G36" s="15" t="s">
        <v>215</v>
      </c>
      <c r="H36" s="7" t="s">
        <v>206</v>
      </c>
      <c r="I36" s="7" t="s">
        <v>207</v>
      </c>
      <c r="J36" s="7" t="s">
        <v>208</v>
      </c>
      <c r="K36" s="7" t="s">
        <v>216</v>
      </c>
      <c r="L36" s="7" t="s">
        <v>217</v>
      </c>
      <c r="M36" s="18" t="s">
        <v>90</v>
      </c>
      <c r="N36" s="7" t="s">
        <v>91</v>
      </c>
      <c r="O36" s="16" t="s">
        <v>85</v>
      </c>
      <c r="P36" s="17" t="s">
        <v>75</v>
      </c>
      <c r="Q36" s="17" t="s">
        <v>75</v>
      </c>
      <c r="R36" s="17" t="s">
        <v>75</v>
      </c>
      <c r="S36" s="17" t="s">
        <v>75</v>
      </c>
      <c r="T36" s="17" t="s">
        <v>75</v>
      </c>
      <c r="U36" s="17" t="s">
        <v>75</v>
      </c>
    </row>
    <row r="37" spans="1:21" x14ac:dyDescent="0.25">
      <c r="A37" s="6" t="s">
        <v>202</v>
      </c>
      <c r="B37" s="6" t="s">
        <v>203</v>
      </c>
      <c r="C37" s="7" t="s">
        <v>75</v>
      </c>
      <c r="D37" s="7">
        <v>125</v>
      </c>
      <c r="E37" s="7">
        <v>1.32</v>
      </c>
      <c r="F37" s="7" t="s">
        <v>218</v>
      </c>
      <c r="G37" s="15" t="s">
        <v>219</v>
      </c>
      <c r="H37" s="7" t="s">
        <v>206</v>
      </c>
      <c r="I37" s="7" t="s">
        <v>207</v>
      </c>
      <c r="J37" s="7" t="s">
        <v>208</v>
      </c>
      <c r="K37" s="7" t="s">
        <v>220</v>
      </c>
      <c r="L37" s="7" t="s">
        <v>221</v>
      </c>
      <c r="M37" s="18" t="s">
        <v>90</v>
      </c>
      <c r="N37" s="7" t="s">
        <v>91</v>
      </c>
      <c r="O37" s="16" t="s">
        <v>85</v>
      </c>
      <c r="P37" s="17" t="s">
        <v>75</v>
      </c>
      <c r="Q37" s="17" t="s">
        <v>75</v>
      </c>
      <c r="R37" s="17" t="s">
        <v>75</v>
      </c>
      <c r="S37" s="17" t="s">
        <v>75</v>
      </c>
      <c r="T37" s="17" t="s">
        <v>75</v>
      </c>
      <c r="U37" s="17" t="s">
        <v>75</v>
      </c>
    </row>
    <row r="38" spans="1:21" x14ac:dyDescent="0.25">
      <c r="A38" s="6" t="s">
        <v>202</v>
      </c>
      <c r="B38" s="6" t="s">
        <v>203</v>
      </c>
      <c r="C38" s="7" t="s">
        <v>75</v>
      </c>
      <c r="D38" s="7">
        <v>125</v>
      </c>
      <c r="E38" s="7">
        <v>1.32</v>
      </c>
      <c r="F38" s="7" t="s">
        <v>222</v>
      </c>
      <c r="G38" s="15" t="s">
        <v>223</v>
      </c>
      <c r="H38" s="7" t="s">
        <v>206</v>
      </c>
      <c r="I38" s="7" t="s">
        <v>207</v>
      </c>
      <c r="J38" s="7" t="s">
        <v>208</v>
      </c>
      <c r="K38" s="7" t="s">
        <v>220</v>
      </c>
      <c r="L38" s="7" t="s">
        <v>221</v>
      </c>
      <c r="M38" s="18" t="s">
        <v>90</v>
      </c>
      <c r="N38" s="7" t="s">
        <v>91</v>
      </c>
      <c r="O38" s="16" t="s">
        <v>85</v>
      </c>
      <c r="P38" s="17" t="s">
        <v>75</v>
      </c>
      <c r="Q38" s="17" t="s">
        <v>75</v>
      </c>
      <c r="R38" s="17" t="s">
        <v>75</v>
      </c>
      <c r="S38" s="17" t="s">
        <v>75</v>
      </c>
      <c r="T38" s="17" t="s">
        <v>75</v>
      </c>
      <c r="U38" s="17" t="s">
        <v>75</v>
      </c>
    </row>
    <row r="39" spans="1:21" x14ac:dyDescent="0.25">
      <c r="A39" s="7" t="s">
        <v>224</v>
      </c>
      <c r="B39" s="7" t="s">
        <v>225</v>
      </c>
      <c r="C39" s="7" t="s">
        <v>75</v>
      </c>
      <c r="D39" s="7">
        <v>75</v>
      </c>
      <c r="E39" s="14">
        <v>0.36</v>
      </c>
      <c r="F39" s="7" t="s">
        <v>226</v>
      </c>
      <c r="G39" s="15" t="s">
        <v>227</v>
      </c>
      <c r="H39" s="7" t="s">
        <v>113</v>
      </c>
      <c r="I39" s="7" t="s">
        <v>120</v>
      </c>
      <c r="J39" s="7" t="s">
        <v>121</v>
      </c>
      <c r="K39" s="7" t="s">
        <v>122</v>
      </c>
      <c r="L39" s="7" t="s">
        <v>123</v>
      </c>
      <c r="M39" s="7" t="s">
        <v>124</v>
      </c>
      <c r="N39" s="16" t="s">
        <v>84</v>
      </c>
      <c r="O39" s="16" t="s">
        <v>85</v>
      </c>
      <c r="P39" s="17" t="s">
        <v>75</v>
      </c>
      <c r="Q39" s="17" t="s">
        <v>75</v>
      </c>
      <c r="R39" s="17" t="s">
        <v>75</v>
      </c>
      <c r="S39" s="17" t="s">
        <v>75</v>
      </c>
      <c r="T39" s="17" t="s">
        <v>75</v>
      </c>
      <c r="U39" s="17" t="s">
        <v>75</v>
      </c>
    </row>
    <row r="40" spans="1:21" x14ac:dyDescent="0.25">
      <c r="A40" s="7" t="s">
        <v>224</v>
      </c>
      <c r="B40" s="7" t="s">
        <v>225</v>
      </c>
      <c r="C40" s="7" t="s">
        <v>75</v>
      </c>
      <c r="D40" s="7">
        <v>85</v>
      </c>
      <c r="E40" s="14">
        <v>0.4</v>
      </c>
      <c r="F40" s="7" t="s">
        <v>228</v>
      </c>
      <c r="G40" s="15" t="s">
        <v>229</v>
      </c>
      <c r="H40" s="7" t="s">
        <v>113</v>
      </c>
      <c r="I40" s="7" t="s">
        <v>79</v>
      </c>
      <c r="J40" s="7" t="s">
        <v>230</v>
      </c>
      <c r="K40" s="7" t="s">
        <v>231</v>
      </c>
      <c r="L40" s="7" t="s">
        <v>232</v>
      </c>
      <c r="M40" s="7" t="s">
        <v>233</v>
      </c>
      <c r="N40" s="16" t="s">
        <v>84</v>
      </c>
      <c r="O40" s="16" t="s">
        <v>85</v>
      </c>
      <c r="P40" s="17" t="s">
        <v>75</v>
      </c>
      <c r="Q40" s="17" t="s">
        <v>75</v>
      </c>
      <c r="R40" s="17" t="s">
        <v>75</v>
      </c>
      <c r="S40" s="17" t="s">
        <v>75</v>
      </c>
      <c r="T40" s="17" t="s">
        <v>75</v>
      </c>
      <c r="U40" s="17" t="s">
        <v>75</v>
      </c>
    </row>
    <row r="41" spans="1:21" x14ac:dyDescent="0.25">
      <c r="A41" s="7" t="s">
        <v>224</v>
      </c>
      <c r="B41" s="7" t="s">
        <v>225</v>
      </c>
      <c r="C41" s="7" t="s">
        <v>75</v>
      </c>
      <c r="D41" s="7">
        <v>90</v>
      </c>
      <c r="E41" s="14">
        <v>0.43</v>
      </c>
      <c r="F41" s="7" t="s">
        <v>228</v>
      </c>
      <c r="G41" s="15" t="s">
        <v>234</v>
      </c>
      <c r="H41" s="7" t="s">
        <v>113</v>
      </c>
      <c r="I41" s="7" t="s">
        <v>235</v>
      </c>
      <c r="J41" s="7" t="s">
        <v>230</v>
      </c>
      <c r="K41" s="7" t="s">
        <v>236</v>
      </c>
      <c r="L41" s="7" t="s">
        <v>237</v>
      </c>
      <c r="M41" s="7" t="s">
        <v>238</v>
      </c>
      <c r="N41" s="16" t="s">
        <v>84</v>
      </c>
      <c r="O41" s="16" t="s">
        <v>85</v>
      </c>
      <c r="P41" s="17" t="s">
        <v>75</v>
      </c>
      <c r="Q41" s="17" t="s">
        <v>75</v>
      </c>
      <c r="R41" s="17" t="s">
        <v>75</v>
      </c>
      <c r="S41" s="17" t="s">
        <v>75</v>
      </c>
      <c r="T41" s="17" t="s">
        <v>75</v>
      </c>
      <c r="U41" s="17" t="s">
        <v>75</v>
      </c>
    </row>
    <row r="42" spans="1:21" x14ac:dyDescent="0.25">
      <c r="A42" s="7" t="s">
        <v>224</v>
      </c>
      <c r="B42" s="7" t="s">
        <v>225</v>
      </c>
      <c r="C42" s="7" t="s">
        <v>75</v>
      </c>
      <c r="D42" s="7">
        <v>120</v>
      </c>
      <c r="E42" s="7">
        <v>0.57</v>
      </c>
      <c r="F42" s="7" t="s">
        <v>228</v>
      </c>
      <c r="G42" s="15" t="s">
        <v>234</v>
      </c>
      <c r="H42" s="7" t="s">
        <v>113</v>
      </c>
      <c r="I42" s="7" t="s">
        <v>239</v>
      </c>
      <c r="J42" s="7" t="s">
        <v>230</v>
      </c>
      <c r="K42" s="7" t="s">
        <v>240</v>
      </c>
      <c r="L42" s="7" t="s">
        <v>241</v>
      </c>
      <c r="M42" s="7" t="s">
        <v>242</v>
      </c>
      <c r="N42" s="16" t="s">
        <v>84</v>
      </c>
      <c r="O42" s="16" t="s">
        <v>85</v>
      </c>
      <c r="P42" s="17" t="s">
        <v>75</v>
      </c>
      <c r="Q42" s="17" t="s">
        <v>75</v>
      </c>
      <c r="R42" s="17" t="s">
        <v>75</v>
      </c>
      <c r="S42" s="17" t="s">
        <v>75</v>
      </c>
      <c r="T42" s="17" t="s">
        <v>75</v>
      </c>
      <c r="U42" s="17" t="s">
        <v>75</v>
      </c>
    </row>
    <row r="43" spans="1:21" x14ac:dyDescent="0.25">
      <c r="A43" s="7" t="s">
        <v>224</v>
      </c>
      <c r="B43" s="7" t="s">
        <v>225</v>
      </c>
      <c r="C43" s="7" t="s">
        <v>75</v>
      </c>
      <c r="D43" s="7">
        <v>210</v>
      </c>
      <c r="E43" s="7">
        <v>1</v>
      </c>
      <c r="F43" s="7" t="s">
        <v>225</v>
      </c>
      <c r="G43" s="15" t="s">
        <v>243</v>
      </c>
      <c r="H43" s="7" t="s">
        <v>113</v>
      </c>
      <c r="I43" s="7" t="s">
        <v>154</v>
      </c>
      <c r="J43" s="7" t="s">
        <v>138</v>
      </c>
      <c r="K43" s="7" t="s">
        <v>155</v>
      </c>
      <c r="L43" s="7" t="s">
        <v>156</v>
      </c>
      <c r="M43" s="7" t="s">
        <v>157</v>
      </c>
      <c r="N43" s="16" t="s">
        <v>84</v>
      </c>
      <c r="O43" s="16" t="s">
        <v>85</v>
      </c>
      <c r="P43" s="17" t="s">
        <v>75</v>
      </c>
      <c r="Q43" s="17" t="s">
        <v>75</v>
      </c>
      <c r="R43" s="17" t="s">
        <v>75</v>
      </c>
      <c r="S43" s="17" t="s">
        <v>75</v>
      </c>
      <c r="T43" s="17" t="s">
        <v>75</v>
      </c>
      <c r="U43" s="17" t="s">
        <v>75</v>
      </c>
    </row>
    <row r="44" spans="1:21" x14ac:dyDescent="0.25">
      <c r="A44" s="7" t="s">
        <v>224</v>
      </c>
      <c r="B44" s="7" t="s">
        <v>225</v>
      </c>
      <c r="C44" s="7" t="s">
        <v>75</v>
      </c>
      <c r="D44" s="7">
        <v>260</v>
      </c>
      <c r="E44" s="7">
        <v>1.24</v>
      </c>
      <c r="F44" s="7" t="s">
        <v>225</v>
      </c>
      <c r="G44" s="15" t="s">
        <v>244</v>
      </c>
      <c r="H44" s="7" t="s">
        <v>113</v>
      </c>
      <c r="I44" s="7" t="s">
        <v>79</v>
      </c>
      <c r="J44" s="7" t="s">
        <v>138</v>
      </c>
      <c r="K44" s="7" t="s">
        <v>150</v>
      </c>
      <c r="L44" s="7" t="s">
        <v>151</v>
      </c>
      <c r="M44" s="7" t="s">
        <v>152</v>
      </c>
      <c r="N44" s="16" t="s">
        <v>84</v>
      </c>
      <c r="O44" s="16" t="s">
        <v>85</v>
      </c>
      <c r="P44" s="17" t="s">
        <v>75</v>
      </c>
      <c r="Q44" s="17" t="s">
        <v>75</v>
      </c>
      <c r="R44" s="17" t="s">
        <v>75</v>
      </c>
      <c r="S44" s="17" t="s">
        <v>75</v>
      </c>
      <c r="T44" s="17" t="s">
        <v>75</v>
      </c>
      <c r="U44" s="17" t="s">
        <v>75</v>
      </c>
    </row>
    <row r="45" spans="1:21" x14ac:dyDescent="0.25">
      <c r="A45" s="7" t="s">
        <v>224</v>
      </c>
      <c r="B45" s="7" t="s">
        <v>225</v>
      </c>
      <c r="C45" s="7" t="s">
        <v>75</v>
      </c>
      <c r="D45" s="7">
        <v>330</v>
      </c>
      <c r="E45" s="7">
        <v>1.57</v>
      </c>
      <c r="F45" s="7" t="s">
        <v>245</v>
      </c>
      <c r="G45" s="15" t="s">
        <v>246</v>
      </c>
      <c r="H45" s="7" t="s">
        <v>113</v>
      </c>
      <c r="I45" s="7" t="s">
        <v>79</v>
      </c>
      <c r="J45" s="7" t="s">
        <v>230</v>
      </c>
      <c r="K45" s="7" t="s">
        <v>247</v>
      </c>
      <c r="L45" s="7" t="s">
        <v>248</v>
      </c>
      <c r="M45" s="7" t="s">
        <v>249</v>
      </c>
      <c r="N45" s="16" t="s">
        <v>84</v>
      </c>
      <c r="O45" s="16" t="s">
        <v>85</v>
      </c>
      <c r="P45" s="17" t="s">
        <v>75</v>
      </c>
      <c r="Q45" s="17" t="s">
        <v>75</v>
      </c>
      <c r="R45" s="17" t="s">
        <v>75</v>
      </c>
      <c r="S45" s="17" t="s">
        <v>75</v>
      </c>
      <c r="T45" s="17" t="s">
        <v>75</v>
      </c>
      <c r="U45" s="17" t="s">
        <v>75</v>
      </c>
    </row>
    <row r="46" spans="1:21" x14ac:dyDescent="0.25">
      <c r="A46" s="7" t="s">
        <v>224</v>
      </c>
      <c r="B46" s="7" t="s">
        <v>225</v>
      </c>
      <c r="C46" s="7" t="s">
        <v>75</v>
      </c>
      <c r="D46" s="7">
        <v>380</v>
      </c>
      <c r="E46" s="7">
        <v>1.81</v>
      </c>
      <c r="F46" s="7" t="s">
        <v>226</v>
      </c>
      <c r="G46" s="15" t="s">
        <v>250</v>
      </c>
      <c r="H46" s="7" t="s">
        <v>113</v>
      </c>
      <c r="I46" s="7" t="s">
        <v>79</v>
      </c>
      <c r="J46" s="7" t="s">
        <v>138</v>
      </c>
      <c r="K46" s="7" t="s">
        <v>163</v>
      </c>
      <c r="L46" s="7" t="s">
        <v>164</v>
      </c>
      <c r="M46" s="7" t="s">
        <v>165</v>
      </c>
      <c r="N46" s="16" t="s">
        <v>84</v>
      </c>
      <c r="O46" s="16" t="s">
        <v>85</v>
      </c>
      <c r="P46" s="17" t="s">
        <v>75</v>
      </c>
      <c r="Q46" s="17" t="s">
        <v>75</v>
      </c>
      <c r="R46" s="17" t="s">
        <v>75</v>
      </c>
      <c r="S46" s="17" t="s">
        <v>75</v>
      </c>
      <c r="T46" s="17" t="s">
        <v>75</v>
      </c>
      <c r="U46" s="17" t="s">
        <v>75</v>
      </c>
    </row>
    <row r="47" spans="1:21" x14ac:dyDescent="0.25">
      <c r="A47" s="7" t="s">
        <v>224</v>
      </c>
      <c r="B47" s="7" t="s">
        <v>225</v>
      </c>
      <c r="C47" s="7" t="s">
        <v>75</v>
      </c>
      <c r="D47" s="7">
        <v>380</v>
      </c>
      <c r="E47" s="7">
        <v>1.81</v>
      </c>
      <c r="F47" s="7" t="s">
        <v>226</v>
      </c>
      <c r="G47" s="15" t="s">
        <v>251</v>
      </c>
      <c r="H47" s="7" t="s">
        <v>113</v>
      </c>
      <c r="I47" s="7" t="s">
        <v>79</v>
      </c>
      <c r="J47" s="7" t="s">
        <v>138</v>
      </c>
      <c r="K47" s="7" t="s">
        <v>159</v>
      </c>
      <c r="L47" s="7" t="s">
        <v>160</v>
      </c>
      <c r="M47" s="7" t="s">
        <v>161</v>
      </c>
      <c r="N47" s="16" t="s">
        <v>84</v>
      </c>
      <c r="O47" s="16" t="s">
        <v>85</v>
      </c>
      <c r="P47" s="17" t="s">
        <v>75</v>
      </c>
      <c r="Q47" s="17" t="s">
        <v>75</v>
      </c>
      <c r="R47" s="17" t="s">
        <v>75</v>
      </c>
      <c r="S47" s="17" t="s">
        <v>75</v>
      </c>
      <c r="T47" s="17" t="s">
        <v>75</v>
      </c>
      <c r="U47" s="17" t="s">
        <v>75</v>
      </c>
    </row>
    <row r="48" spans="1:21" x14ac:dyDescent="0.25">
      <c r="A48" s="6" t="s">
        <v>252</v>
      </c>
      <c r="B48" s="6" t="s">
        <v>253</v>
      </c>
      <c r="C48" s="7" t="s">
        <v>75</v>
      </c>
      <c r="D48" s="7">
        <v>40</v>
      </c>
      <c r="E48" s="14">
        <v>0.48</v>
      </c>
      <c r="F48" s="7" t="s">
        <v>253</v>
      </c>
      <c r="G48" s="15" t="s">
        <v>254</v>
      </c>
      <c r="H48" s="7" t="s">
        <v>113</v>
      </c>
      <c r="I48" s="7" t="s">
        <v>79</v>
      </c>
      <c r="J48" s="7" t="s">
        <v>230</v>
      </c>
      <c r="K48" s="7" t="s">
        <v>255</v>
      </c>
      <c r="L48" s="7" t="s">
        <v>232</v>
      </c>
      <c r="M48" s="7" t="s">
        <v>256</v>
      </c>
      <c r="N48" s="16" t="s">
        <v>84</v>
      </c>
      <c r="O48" s="16" t="s">
        <v>85</v>
      </c>
      <c r="P48" s="17" t="s">
        <v>75</v>
      </c>
      <c r="Q48" s="17" t="s">
        <v>75</v>
      </c>
      <c r="R48" s="17" t="s">
        <v>75</v>
      </c>
      <c r="S48" s="17" t="s">
        <v>75</v>
      </c>
      <c r="T48" s="17" t="s">
        <v>75</v>
      </c>
      <c r="U48" s="17" t="s">
        <v>75</v>
      </c>
    </row>
    <row r="49" spans="1:21" x14ac:dyDescent="0.25">
      <c r="A49" s="6" t="s">
        <v>252</v>
      </c>
      <c r="B49" s="6" t="s">
        <v>253</v>
      </c>
      <c r="C49" s="7" t="s">
        <v>75</v>
      </c>
      <c r="D49" s="7">
        <v>50</v>
      </c>
      <c r="E49" s="7">
        <v>0.61</v>
      </c>
      <c r="F49" s="7" t="s">
        <v>253</v>
      </c>
      <c r="G49" s="15" t="s">
        <v>254</v>
      </c>
      <c r="H49" s="7" t="s">
        <v>113</v>
      </c>
      <c r="I49" s="7" t="s">
        <v>79</v>
      </c>
      <c r="J49" s="7" t="s">
        <v>230</v>
      </c>
      <c r="K49" s="7" t="s">
        <v>257</v>
      </c>
      <c r="L49" s="7" t="s">
        <v>258</v>
      </c>
      <c r="M49" s="7" t="s">
        <v>259</v>
      </c>
      <c r="N49" s="16" t="s">
        <v>84</v>
      </c>
      <c r="O49" s="16" t="s">
        <v>85</v>
      </c>
      <c r="P49" s="17" t="s">
        <v>75</v>
      </c>
      <c r="Q49" s="17" t="s">
        <v>75</v>
      </c>
      <c r="R49" s="17" t="s">
        <v>75</v>
      </c>
      <c r="S49" s="17" t="s">
        <v>75</v>
      </c>
      <c r="T49" s="17" t="s">
        <v>75</v>
      </c>
      <c r="U49" s="17" t="s">
        <v>75</v>
      </c>
    </row>
    <row r="50" spans="1:21" x14ac:dyDescent="0.25">
      <c r="A50" s="6" t="s">
        <v>252</v>
      </c>
      <c r="B50" s="6" t="s">
        <v>253</v>
      </c>
      <c r="C50" s="7" t="s">
        <v>75</v>
      </c>
      <c r="D50" s="7">
        <v>60</v>
      </c>
      <c r="E50" s="7">
        <v>0.73</v>
      </c>
      <c r="F50" s="7" t="s">
        <v>260</v>
      </c>
      <c r="G50" s="15" t="s">
        <v>261</v>
      </c>
      <c r="H50" s="7" t="s">
        <v>113</v>
      </c>
      <c r="I50" s="7" t="s">
        <v>79</v>
      </c>
      <c r="J50" s="7" t="s">
        <v>230</v>
      </c>
      <c r="K50" s="7" t="s">
        <v>262</v>
      </c>
      <c r="L50" s="7" t="s">
        <v>263</v>
      </c>
      <c r="M50" s="7" t="s">
        <v>264</v>
      </c>
      <c r="N50" s="16" t="s">
        <v>84</v>
      </c>
      <c r="O50" s="16" t="s">
        <v>85</v>
      </c>
      <c r="P50" s="17" t="s">
        <v>75</v>
      </c>
      <c r="Q50" s="17" t="s">
        <v>75</v>
      </c>
      <c r="R50" s="17" t="s">
        <v>75</v>
      </c>
      <c r="S50" s="17" t="s">
        <v>75</v>
      </c>
      <c r="T50" s="17" t="s">
        <v>75</v>
      </c>
      <c r="U50" s="17" t="s">
        <v>75</v>
      </c>
    </row>
    <row r="51" spans="1:21" x14ac:dyDescent="0.25">
      <c r="A51" s="6" t="s">
        <v>252</v>
      </c>
      <c r="B51" s="6" t="s">
        <v>253</v>
      </c>
      <c r="C51" s="7" t="s">
        <v>75</v>
      </c>
      <c r="D51" s="7">
        <v>75</v>
      </c>
      <c r="E51" s="7">
        <v>0.91</v>
      </c>
      <c r="F51" s="7" t="s">
        <v>260</v>
      </c>
      <c r="G51" s="15" t="s">
        <v>261</v>
      </c>
      <c r="H51" s="7" t="s">
        <v>113</v>
      </c>
      <c r="I51" s="7" t="s">
        <v>79</v>
      </c>
      <c r="J51" s="7" t="s">
        <v>230</v>
      </c>
      <c r="K51" s="7" t="s">
        <v>265</v>
      </c>
      <c r="L51" s="7" t="s">
        <v>181</v>
      </c>
      <c r="M51" s="7" t="s">
        <v>266</v>
      </c>
      <c r="N51" s="16" t="s">
        <v>84</v>
      </c>
      <c r="O51" s="16" t="s">
        <v>85</v>
      </c>
      <c r="P51" s="17" t="s">
        <v>75</v>
      </c>
      <c r="Q51" s="17" t="s">
        <v>75</v>
      </c>
      <c r="R51" s="17" t="s">
        <v>75</v>
      </c>
      <c r="S51" s="17" t="s">
        <v>75</v>
      </c>
      <c r="T51" s="17" t="s">
        <v>75</v>
      </c>
      <c r="U51" s="17" t="s">
        <v>75</v>
      </c>
    </row>
    <row r="52" spans="1:21" x14ac:dyDescent="0.25">
      <c r="A52" s="6" t="s">
        <v>252</v>
      </c>
      <c r="B52" s="6" t="s">
        <v>253</v>
      </c>
      <c r="C52" s="7" t="s">
        <v>75</v>
      </c>
      <c r="D52" s="7">
        <v>90</v>
      </c>
      <c r="E52" s="7">
        <v>1.09</v>
      </c>
      <c r="F52" s="7" t="s">
        <v>260</v>
      </c>
      <c r="G52" s="15" t="s">
        <v>261</v>
      </c>
      <c r="H52" s="7" t="s">
        <v>113</v>
      </c>
      <c r="I52" s="7" t="s">
        <v>239</v>
      </c>
      <c r="J52" s="7" t="s">
        <v>230</v>
      </c>
      <c r="K52" s="7" t="s">
        <v>240</v>
      </c>
      <c r="L52" s="7" t="s">
        <v>241</v>
      </c>
      <c r="M52" s="7" t="s">
        <v>242</v>
      </c>
      <c r="N52" s="16" t="s">
        <v>84</v>
      </c>
      <c r="O52" s="16" t="s">
        <v>85</v>
      </c>
      <c r="P52" s="17" t="s">
        <v>75</v>
      </c>
      <c r="Q52" s="17" t="s">
        <v>75</v>
      </c>
      <c r="R52" s="17" t="s">
        <v>75</v>
      </c>
      <c r="S52" s="17" t="s">
        <v>75</v>
      </c>
      <c r="T52" s="17" t="s">
        <v>75</v>
      </c>
      <c r="U52" s="17" t="s">
        <v>75</v>
      </c>
    </row>
    <row r="53" spans="1:21" x14ac:dyDescent="0.25">
      <c r="A53" s="6" t="s">
        <v>252</v>
      </c>
      <c r="B53" s="6" t="s">
        <v>253</v>
      </c>
      <c r="C53" s="7" t="s">
        <v>75</v>
      </c>
      <c r="D53" s="7">
        <v>110</v>
      </c>
      <c r="E53" s="7">
        <v>1.33</v>
      </c>
      <c r="F53" s="7" t="s">
        <v>260</v>
      </c>
      <c r="G53" s="15" t="s">
        <v>261</v>
      </c>
      <c r="H53" s="7" t="s">
        <v>113</v>
      </c>
      <c r="I53" s="7" t="s">
        <v>235</v>
      </c>
      <c r="J53" s="7" t="s">
        <v>230</v>
      </c>
      <c r="K53" s="7" t="s">
        <v>236</v>
      </c>
      <c r="L53" s="7" t="s">
        <v>237</v>
      </c>
      <c r="M53" s="7" t="s">
        <v>238</v>
      </c>
      <c r="N53" s="16" t="s">
        <v>84</v>
      </c>
      <c r="O53" s="16" t="s">
        <v>85</v>
      </c>
      <c r="P53" s="17" t="s">
        <v>75</v>
      </c>
      <c r="Q53" s="17" t="s">
        <v>75</v>
      </c>
      <c r="R53" s="17" t="s">
        <v>75</v>
      </c>
      <c r="S53" s="17" t="s">
        <v>75</v>
      </c>
      <c r="T53" s="17" t="s">
        <v>75</v>
      </c>
      <c r="U53" s="17" t="s">
        <v>75</v>
      </c>
    </row>
    <row r="54" spans="1:21" x14ac:dyDescent="0.25">
      <c r="A54" s="6" t="s">
        <v>252</v>
      </c>
      <c r="B54" s="6" t="s">
        <v>253</v>
      </c>
      <c r="C54" s="7" t="s">
        <v>75</v>
      </c>
      <c r="D54" s="7">
        <v>120</v>
      </c>
      <c r="E54" s="7">
        <v>1.45</v>
      </c>
      <c r="F54" s="7" t="s">
        <v>260</v>
      </c>
      <c r="G54" s="15" t="s">
        <v>267</v>
      </c>
      <c r="H54" s="7" t="s">
        <v>113</v>
      </c>
      <c r="I54" s="7" t="s">
        <v>79</v>
      </c>
      <c r="J54" s="7" t="s">
        <v>230</v>
      </c>
      <c r="K54" s="7" t="s">
        <v>247</v>
      </c>
      <c r="L54" s="7" t="s">
        <v>248</v>
      </c>
      <c r="M54" s="7" t="s">
        <v>249</v>
      </c>
      <c r="N54" s="16" t="s">
        <v>84</v>
      </c>
      <c r="O54" s="16" t="s">
        <v>85</v>
      </c>
      <c r="P54" s="17" t="s">
        <v>75</v>
      </c>
      <c r="Q54" s="17" t="s">
        <v>75</v>
      </c>
      <c r="R54" s="17" t="s">
        <v>75</v>
      </c>
      <c r="S54" s="17" t="s">
        <v>75</v>
      </c>
      <c r="T54" s="17" t="s">
        <v>75</v>
      </c>
      <c r="U54" s="17" t="s">
        <v>75</v>
      </c>
    </row>
    <row r="55" spans="1:21" x14ac:dyDescent="0.25">
      <c r="A55" s="6" t="s">
        <v>252</v>
      </c>
      <c r="B55" s="6" t="s">
        <v>253</v>
      </c>
      <c r="C55" s="7" t="s">
        <v>75</v>
      </c>
      <c r="D55" s="7">
        <v>200</v>
      </c>
      <c r="E55" s="14">
        <v>2.42</v>
      </c>
      <c r="F55" s="7" t="s">
        <v>260</v>
      </c>
      <c r="G55" s="15" t="s">
        <v>268</v>
      </c>
      <c r="H55" s="7" t="s">
        <v>113</v>
      </c>
      <c r="I55" s="7" t="s">
        <v>269</v>
      </c>
      <c r="J55" s="7" t="s">
        <v>230</v>
      </c>
      <c r="K55" s="7" t="s">
        <v>270</v>
      </c>
      <c r="L55" s="7" t="s">
        <v>258</v>
      </c>
      <c r="M55" s="7" t="s">
        <v>271</v>
      </c>
      <c r="N55" s="16" t="s">
        <v>84</v>
      </c>
      <c r="O55" s="16" t="s">
        <v>85</v>
      </c>
      <c r="P55" s="17" t="s">
        <v>75</v>
      </c>
      <c r="Q55" s="17" t="s">
        <v>75</v>
      </c>
      <c r="R55" s="17" t="s">
        <v>75</v>
      </c>
      <c r="S55" s="17" t="s">
        <v>75</v>
      </c>
      <c r="T55" s="17" t="s">
        <v>75</v>
      </c>
      <c r="U55" s="17" t="s">
        <v>75</v>
      </c>
    </row>
    <row r="56" spans="1:21" x14ac:dyDescent="0.25">
      <c r="A56" s="7" t="s">
        <v>272</v>
      </c>
      <c r="B56" s="7" t="s">
        <v>273</v>
      </c>
      <c r="C56" s="7" t="s">
        <v>75</v>
      </c>
      <c r="D56" s="7">
        <v>135</v>
      </c>
      <c r="E56" s="7">
        <v>0.73</v>
      </c>
      <c r="F56" s="7" t="s">
        <v>274</v>
      </c>
      <c r="G56" s="15" t="s">
        <v>275</v>
      </c>
      <c r="H56" s="7" t="s">
        <v>113</v>
      </c>
      <c r="I56" s="7" t="s">
        <v>276</v>
      </c>
      <c r="J56" s="7" t="s">
        <v>138</v>
      </c>
      <c r="K56" s="7" t="s">
        <v>277</v>
      </c>
      <c r="L56" s="7" t="s">
        <v>278</v>
      </c>
      <c r="M56" s="7" t="s">
        <v>279</v>
      </c>
      <c r="N56" s="16" t="s">
        <v>84</v>
      </c>
      <c r="O56" s="16" t="s">
        <v>85</v>
      </c>
      <c r="P56" s="17" t="s">
        <v>75</v>
      </c>
      <c r="Q56" s="17" t="s">
        <v>75</v>
      </c>
      <c r="R56" s="17" t="s">
        <v>75</v>
      </c>
      <c r="S56" s="17" t="s">
        <v>75</v>
      </c>
      <c r="T56" s="17" t="s">
        <v>75</v>
      </c>
      <c r="U56" s="17" t="s">
        <v>75</v>
      </c>
    </row>
    <row r="57" spans="1:21" x14ac:dyDescent="0.25">
      <c r="A57" s="7" t="s">
        <v>272</v>
      </c>
      <c r="B57" s="7" t="s">
        <v>273</v>
      </c>
      <c r="C57" s="7" t="s">
        <v>75</v>
      </c>
      <c r="D57" s="7">
        <v>170</v>
      </c>
      <c r="E57" s="7">
        <v>0.92</v>
      </c>
      <c r="F57" s="7" t="s">
        <v>280</v>
      </c>
      <c r="G57" s="15" t="s">
        <v>281</v>
      </c>
      <c r="H57" s="7" t="s">
        <v>113</v>
      </c>
      <c r="I57" s="7" t="s">
        <v>235</v>
      </c>
      <c r="J57" s="7" t="s">
        <v>230</v>
      </c>
      <c r="K57" s="7" t="s">
        <v>282</v>
      </c>
      <c r="L57" s="7" t="s">
        <v>232</v>
      </c>
      <c r="M57" s="7" t="s">
        <v>283</v>
      </c>
      <c r="N57" s="16" t="s">
        <v>84</v>
      </c>
      <c r="O57" s="16" t="s">
        <v>85</v>
      </c>
      <c r="P57" s="17" t="s">
        <v>75</v>
      </c>
      <c r="Q57" s="17" t="s">
        <v>75</v>
      </c>
      <c r="R57" s="17" t="s">
        <v>75</v>
      </c>
      <c r="S57" s="17" t="s">
        <v>75</v>
      </c>
      <c r="T57" s="17" t="s">
        <v>75</v>
      </c>
      <c r="U57" s="17" t="s">
        <v>75</v>
      </c>
    </row>
    <row r="58" spans="1:21" x14ac:dyDescent="0.25">
      <c r="A58" s="7" t="s">
        <v>272</v>
      </c>
      <c r="B58" s="7" t="s">
        <v>273</v>
      </c>
      <c r="C58" s="7" t="s">
        <v>75</v>
      </c>
      <c r="D58" s="7">
        <v>180</v>
      </c>
      <c r="E58" s="7">
        <v>0.97</v>
      </c>
      <c r="F58" s="7" t="s">
        <v>273</v>
      </c>
      <c r="G58" s="15" t="s">
        <v>284</v>
      </c>
      <c r="H58" s="7" t="s">
        <v>113</v>
      </c>
      <c r="I58" s="7" t="s">
        <v>79</v>
      </c>
      <c r="J58" s="7" t="s">
        <v>138</v>
      </c>
      <c r="K58" s="7" t="s">
        <v>285</v>
      </c>
      <c r="L58" s="7" t="s">
        <v>160</v>
      </c>
      <c r="M58" s="7" t="s">
        <v>286</v>
      </c>
      <c r="N58" s="16" t="s">
        <v>84</v>
      </c>
      <c r="O58" s="16" t="s">
        <v>85</v>
      </c>
      <c r="P58" s="17" t="s">
        <v>75</v>
      </c>
      <c r="Q58" s="17" t="s">
        <v>75</v>
      </c>
      <c r="R58" s="17" t="s">
        <v>75</v>
      </c>
      <c r="S58" s="17" t="s">
        <v>75</v>
      </c>
      <c r="T58" s="17" t="s">
        <v>75</v>
      </c>
      <c r="U58" s="17" t="s">
        <v>75</v>
      </c>
    </row>
    <row r="59" spans="1:21" x14ac:dyDescent="0.25">
      <c r="A59" s="7" t="s">
        <v>272</v>
      </c>
      <c r="B59" s="7" t="s">
        <v>273</v>
      </c>
      <c r="C59" s="7" t="s">
        <v>75</v>
      </c>
      <c r="D59" s="7">
        <v>190</v>
      </c>
      <c r="E59" s="7">
        <v>1.03</v>
      </c>
      <c r="F59" s="7" t="s">
        <v>280</v>
      </c>
      <c r="G59" s="15" t="s">
        <v>284</v>
      </c>
      <c r="H59" s="7" t="s">
        <v>113</v>
      </c>
      <c r="I59" s="7" t="s">
        <v>235</v>
      </c>
      <c r="J59" s="7" t="s">
        <v>230</v>
      </c>
      <c r="K59" s="7" t="s">
        <v>236</v>
      </c>
      <c r="L59" s="7" t="s">
        <v>237</v>
      </c>
      <c r="M59" s="7" t="s">
        <v>238</v>
      </c>
      <c r="N59" s="16" t="s">
        <v>84</v>
      </c>
      <c r="O59" s="16" t="s">
        <v>85</v>
      </c>
      <c r="P59" s="17" t="s">
        <v>75</v>
      </c>
      <c r="Q59" s="17" t="s">
        <v>75</v>
      </c>
      <c r="R59" s="17" t="s">
        <v>75</v>
      </c>
      <c r="S59" s="17" t="s">
        <v>75</v>
      </c>
      <c r="T59" s="17" t="s">
        <v>75</v>
      </c>
      <c r="U59" s="17" t="s">
        <v>75</v>
      </c>
    </row>
    <row r="60" spans="1:21" x14ac:dyDescent="0.25">
      <c r="A60" s="7" t="s">
        <v>272</v>
      </c>
      <c r="B60" s="7" t="s">
        <v>273</v>
      </c>
      <c r="C60" s="7" t="s">
        <v>75</v>
      </c>
      <c r="D60" s="7">
        <v>240</v>
      </c>
      <c r="E60" s="7">
        <v>1.3</v>
      </c>
      <c r="F60" s="7" t="s">
        <v>280</v>
      </c>
      <c r="G60" s="15" t="s">
        <v>284</v>
      </c>
      <c r="H60" s="7" t="s">
        <v>113</v>
      </c>
      <c r="I60" s="7" t="s">
        <v>239</v>
      </c>
      <c r="J60" s="7" t="s">
        <v>230</v>
      </c>
      <c r="K60" s="7" t="s">
        <v>240</v>
      </c>
      <c r="L60" s="7" t="s">
        <v>241</v>
      </c>
      <c r="M60" s="7" t="s">
        <v>242</v>
      </c>
      <c r="N60" s="16" t="s">
        <v>84</v>
      </c>
      <c r="O60" s="16" t="s">
        <v>85</v>
      </c>
      <c r="P60" s="17" t="s">
        <v>75</v>
      </c>
      <c r="Q60" s="17" t="s">
        <v>75</v>
      </c>
      <c r="R60" s="17" t="s">
        <v>75</v>
      </c>
      <c r="S60" s="17" t="s">
        <v>75</v>
      </c>
      <c r="T60" s="17" t="s">
        <v>75</v>
      </c>
      <c r="U60" s="17" t="s">
        <v>75</v>
      </c>
    </row>
    <row r="61" spans="1:21" x14ac:dyDescent="0.25">
      <c r="A61" s="7" t="s">
        <v>272</v>
      </c>
      <c r="B61" s="7" t="s">
        <v>273</v>
      </c>
      <c r="C61" s="7" t="s">
        <v>75</v>
      </c>
      <c r="D61" s="7">
        <v>600</v>
      </c>
      <c r="E61" s="14">
        <v>3.24</v>
      </c>
      <c r="F61" s="7" t="s">
        <v>273</v>
      </c>
      <c r="G61" s="15" t="s">
        <v>287</v>
      </c>
      <c r="H61" s="7" t="s">
        <v>113</v>
      </c>
      <c r="I61" s="7" t="s">
        <v>79</v>
      </c>
      <c r="J61" s="7" t="s">
        <v>138</v>
      </c>
      <c r="K61" s="7" t="s">
        <v>159</v>
      </c>
      <c r="L61" s="7" t="s">
        <v>160</v>
      </c>
      <c r="M61" s="7" t="s">
        <v>161</v>
      </c>
      <c r="N61" s="16" t="s">
        <v>84</v>
      </c>
      <c r="O61" s="16" t="s">
        <v>85</v>
      </c>
      <c r="P61" s="17" t="s">
        <v>75</v>
      </c>
      <c r="Q61" s="17" t="s">
        <v>75</v>
      </c>
      <c r="R61" s="17" t="s">
        <v>75</v>
      </c>
      <c r="S61" s="17" t="s">
        <v>75</v>
      </c>
      <c r="T61" s="17" t="s">
        <v>75</v>
      </c>
      <c r="U61" s="17" t="s">
        <v>75</v>
      </c>
    </row>
    <row r="62" spans="1:21" x14ac:dyDescent="0.25">
      <c r="A62" s="6" t="s">
        <v>288</v>
      </c>
      <c r="B62" s="6" t="s">
        <v>289</v>
      </c>
      <c r="C62" s="7" t="s">
        <v>75</v>
      </c>
      <c r="D62" s="7">
        <v>195</v>
      </c>
      <c r="E62" s="7">
        <v>0.7</v>
      </c>
      <c r="F62" s="7" t="s">
        <v>289</v>
      </c>
      <c r="G62" s="15" t="s">
        <v>290</v>
      </c>
      <c r="H62" s="7" t="s">
        <v>78</v>
      </c>
      <c r="I62" s="7" t="s">
        <v>79</v>
      </c>
      <c r="J62" s="7" t="s">
        <v>80</v>
      </c>
      <c r="K62" s="7" t="s">
        <v>94</v>
      </c>
      <c r="L62" s="7" t="s">
        <v>95</v>
      </c>
      <c r="M62" s="7" t="s">
        <v>96</v>
      </c>
      <c r="N62" s="16" t="s">
        <v>84</v>
      </c>
      <c r="O62" s="16" t="s">
        <v>85</v>
      </c>
      <c r="P62" s="17" t="s">
        <v>75</v>
      </c>
      <c r="Q62" s="17" t="s">
        <v>75</v>
      </c>
      <c r="R62" s="17" t="s">
        <v>75</v>
      </c>
      <c r="S62" s="17" t="s">
        <v>75</v>
      </c>
      <c r="T62" s="17" t="s">
        <v>75</v>
      </c>
      <c r="U62" s="17" t="s">
        <v>75</v>
      </c>
    </row>
    <row r="63" spans="1:21" x14ac:dyDescent="0.25">
      <c r="A63" s="6" t="s">
        <v>288</v>
      </c>
      <c r="B63" s="6" t="s">
        <v>289</v>
      </c>
      <c r="C63" s="7" t="s">
        <v>75</v>
      </c>
      <c r="D63" s="7">
        <v>195</v>
      </c>
      <c r="E63" s="7">
        <v>0.7</v>
      </c>
      <c r="F63" s="7" t="s">
        <v>289</v>
      </c>
      <c r="G63" s="15" t="s">
        <v>291</v>
      </c>
      <c r="H63" s="7" t="s">
        <v>78</v>
      </c>
      <c r="I63" s="7" t="s">
        <v>79</v>
      </c>
      <c r="J63" s="7" t="s">
        <v>80</v>
      </c>
      <c r="K63" s="7" t="s">
        <v>94</v>
      </c>
      <c r="L63" s="7" t="s">
        <v>95</v>
      </c>
      <c r="M63" s="7" t="s">
        <v>96</v>
      </c>
      <c r="N63" s="16" t="s">
        <v>84</v>
      </c>
      <c r="O63" s="16" t="s">
        <v>85</v>
      </c>
      <c r="P63" s="17" t="s">
        <v>75</v>
      </c>
      <c r="Q63" s="17" t="s">
        <v>75</v>
      </c>
      <c r="R63" s="17" t="s">
        <v>75</v>
      </c>
      <c r="S63" s="17" t="s">
        <v>75</v>
      </c>
      <c r="T63" s="17" t="s">
        <v>75</v>
      </c>
      <c r="U63" s="17" t="s">
        <v>75</v>
      </c>
    </row>
    <row r="64" spans="1:21" x14ac:dyDescent="0.25">
      <c r="A64" s="6" t="s">
        <v>288</v>
      </c>
      <c r="B64" s="6" t="s">
        <v>289</v>
      </c>
      <c r="C64" s="7" t="s">
        <v>75</v>
      </c>
      <c r="D64" s="7">
        <v>280</v>
      </c>
      <c r="E64" s="7">
        <v>1</v>
      </c>
      <c r="F64" s="7" t="s">
        <v>289</v>
      </c>
      <c r="G64" s="15" t="s">
        <v>292</v>
      </c>
      <c r="H64" s="7" t="s">
        <v>78</v>
      </c>
      <c r="I64" s="7" t="s">
        <v>79</v>
      </c>
      <c r="J64" s="7" t="s">
        <v>80</v>
      </c>
      <c r="K64" s="7" t="s">
        <v>94</v>
      </c>
      <c r="L64" s="7" t="s">
        <v>95</v>
      </c>
      <c r="M64" s="7" t="s">
        <v>96</v>
      </c>
      <c r="N64" s="16" t="s">
        <v>84</v>
      </c>
      <c r="O64" s="16" t="s">
        <v>85</v>
      </c>
      <c r="P64" s="17" t="s">
        <v>75</v>
      </c>
      <c r="Q64" s="17" t="s">
        <v>75</v>
      </c>
      <c r="R64" s="17" t="s">
        <v>75</v>
      </c>
      <c r="S64" s="17" t="s">
        <v>75</v>
      </c>
      <c r="T64" s="17" t="s">
        <v>75</v>
      </c>
      <c r="U64" s="17" t="s">
        <v>75</v>
      </c>
    </row>
    <row r="65" spans="1:21" x14ac:dyDescent="0.25">
      <c r="A65" s="6" t="s">
        <v>288</v>
      </c>
      <c r="B65" s="6" t="s">
        <v>289</v>
      </c>
      <c r="C65" s="7" t="s">
        <v>75</v>
      </c>
      <c r="D65" s="7">
        <v>360</v>
      </c>
      <c r="E65" s="7">
        <v>1.29</v>
      </c>
      <c r="F65" s="7" t="s">
        <v>293</v>
      </c>
      <c r="G65" s="15" t="s">
        <v>294</v>
      </c>
      <c r="H65" s="7" t="s">
        <v>78</v>
      </c>
      <c r="I65" s="7" t="s">
        <v>79</v>
      </c>
      <c r="J65" s="7" t="s">
        <v>80</v>
      </c>
      <c r="K65" s="7" t="s">
        <v>81</v>
      </c>
      <c r="L65" s="7" t="s">
        <v>82</v>
      </c>
      <c r="M65" s="7" t="s">
        <v>83</v>
      </c>
      <c r="N65" s="16" t="s">
        <v>84</v>
      </c>
      <c r="O65" s="16" t="s">
        <v>85</v>
      </c>
      <c r="P65" s="17" t="s">
        <v>75</v>
      </c>
      <c r="Q65" s="17" t="s">
        <v>75</v>
      </c>
      <c r="R65" s="17" t="s">
        <v>75</v>
      </c>
      <c r="S65" s="17" t="s">
        <v>75</v>
      </c>
      <c r="T65" s="17" t="s">
        <v>75</v>
      </c>
      <c r="U65" s="17" t="s">
        <v>75</v>
      </c>
    </row>
    <row r="66" spans="1:21" x14ac:dyDescent="0.25">
      <c r="A66" s="6" t="s">
        <v>288</v>
      </c>
      <c r="B66" s="6" t="s">
        <v>289</v>
      </c>
      <c r="C66" s="7" t="s">
        <v>75</v>
      </c>
      <c r="D66" s="7">
        <v>820</v>
      </c>
      <c r="E66" s="14">
        <v>2.93</v>
      </c>
      <c r="F66" s="7" t="s">
        <v>289</v>
      </c>
      <c r="G66" s="15" t="s">
        <v>295</v>
      </c>
      <c r="H66" s="7" t="s">
        <v>78</v>
      </c>
      <c r="I66" s="7" t="s">
        <v>79</v>
      </c>
      <c r="J66" s="7" t="s">
        <v>80</v>
      </c>
      <c r="K66" s="7" t="s">
        <v>94</v>
      </c>
      <c r="L66" s="7" t="s">
        <v>95</v>
      </c>
      <c r="M66" s="7" t="s">
        <v>96</v>
      </c>
      <c r="N66" s="16" t="s">
        <v>84</v>
      </c>
      <c r="O66" s="16" t="s">
        <v>85</v>
      </c>
      <c r="P66" s="17" t="s">
        <v>75</v>
      </c>
      <c r="Q66" s="17" t="s">
        <v>75</v>
      </c>
      <c r="R66" s="17" t="s">
        <v>75</v>
      </c>
      <c r="S66" s="17" t="s">
        <v>75</v>
      </c>
      <c r="T66" s="17" t="s">
        <v>75</v>
      </c>
      <c r="U66" s="17" t="s">
        <v>75</v>
      </c>
    </row>
    <row r="67" spans="1:21" x14ac:dyDescent="0.25">
      <c r="A67" s="7" t="s">
        <v>296</v>
      </c>
      <c r="B67" s="7" t="s">
        <v>297</v>
      </c>
      <c r="C67" s="7" t="s">
        <v>75</v>
      </c>
      <c r="D67" s="7">
        <v>310</v>
      </c>
      <c r="E67" s="7">
        <v>0.89</v>
      </c>
      <c r="F67" s="7" t="s">
        <v>297</v>
      </c>
      <c r="G67" s="15" t="s">
        <v>298</v>
      </c>
      <c r="H67" s="7" t="s">
        <v>113</v>
      </c>
      <c r="I67" s="7" t="s">
        <v>276</v>
      </c>
      <c r="J67" s="7" t="s">
        <v>208</v>
      </c>
      <c r="K67" s="7" t="s">
        <v>299</v>
      </c>
      <c r="L67" s="7" t="s">
        <v>300</v>
      </c>
      <c r="M67" s="18" t="s">
        <v>90</v>
      </c>
      <c r="N67" s="7" t="s">
        <v>91</v>
      </c>
      <c r="O67" s="16" t="s">
        <v>85</v>
      </c>
      <c r="P67" s="17" t="s">
        <v>75</v>
      </c>
      <c r="Q67" s="17" t="s">
        <v>75</v>
      </c>
      <c r="R67" s="17" t="s">
        <v>75</v>
      </c>
      <c r="S67" s="17" t="s">
        <v>75</v>
      </c>
      <c r="T67" s="17" t="s">
        <v>75</v>
      </c>
      <c r="U67" s="17" t="s">
        <v>75</v>
      </c>
    </row>
    <row r="68" spans="1:21" x14ac:dyDescent="0.25">
      <c r="A68" s="7" t="s">
        <v>296</v>
      </c>
      <c r="B68" s="7" t="s">
        <v>297</v>
      </c>
      <c r="C68" s="7" t="s">
        <v>75</v>
      </c>
      <c r="D68" s="7">
        <v>330</v>
      </c>
      <c r="E68" s="7">
        <v>0.94</v>
      </c>
      <c r="F68" s="7" t="s">
        <v>301</v>
      </c>
      <c r="G68" s="15" t="s">
        <v>302</v>
      </c>
      <c r="H68" s="7" t="s">
        <v>113</v>
      </c>
      <c r="I68" s="7" t="s">
        <v>235</v>
      </c>
      <c r="J68" s="7" t="s">
        <v>230</v>
      </c>
      <c r="K68" s="7" t="s">
        <v>282</v>
      </c>
      <c r="L68" s="7" t="s">
        <v>232</v>
      </c>
      <c r="M68" s="7" t="s">
        <v>283</v>
      </c>
      <c r="N68" s="16" t="s">
        <v>84</v>
      </c>
      <c r="O68" s="16" t="s">
        <v>85</v>
      </c>
      <c r="P68" s="17" t="s">
        <v>75</v>
      </c>
      <c r="Q68" s="17" t="s">
        <v>75</v>
      </c>
      <c r="R68" s="17" t="s">
        <v>75</v>
      </c>
      <c r="S68" s="17" t="s">
        <v>75</v>
      </c>
      <c r="T68" s="17" t="s">
        <v>75</v>
      </c>
      <c r="U68" s="17" t="s">
        <v>75</v>
      </c>
    </row>
    <row r="69" spans="1:21" x14ac:dyDescent="0.25">
      <c r="A69" s="7" t="s">
        <v>296</v>
      </c>
      <c r="B69" s="7" t="s">
        <v>297</v>
      </c>
      <c r="C69" s="7" t="s">
        <v>75</v>
      </c>
      <c r="D69" s="7">
        <v>330</v>
      </c>
      <c r="E69" s="7">
        <v>0.94</v>
      </c>
      <c r="F69" s="7" t="s">
        <v>303</v>
      </c>
      <c r="G69" s="15" t="s">
        <v>304</v>
      </c>
      <c r="H69" s="7" t="s">
        <v>113</v>
      </c>
      <c r="I69" s="7" t="s">
        <v>235</v>
      </c>
      <c r="J69" s="7" t="s">
        <v>230</v>
      </c>
      <c r="K69" s="7" t="s">
        <v>282</v>
      </c>
      <c r="L69" s="7" t="s">
        <v>232</v>
      </c>
      <c r="M69" s="7" t="s">
        <v>283</v>
      </c>
      <c r="N69" s="16" t="s">
        <v>84</v>
      </c>
      <c r="O69" s="16" t="s">
        <v>85</v>
      </c>
      <c r="P69" s="17" t="s">
        <v>75</v>
      </c>
      <c r="Q69" s="17" t="s">
        <v>75</v>
      </c>
      <c r="R69" s="17" t="s">
        <v>75</v>
      </c>
      <c r="S69" s="17" t="s">
        <v>75</v>
      </c>
      <c r="T69" s="17" t="s">
        <v>75</v>
      </c>
      <c r="U69" s="17" t="s">
        <v>75</v>
      </c>
    </row>
    <row r="70" spans="1:21" x14ac:dyDescent="0.25">
      <c r="A70" s="7" t="s">
        <v>296</v>
      </c>
      <c r="B70" s="7" t="s">
        <v>297</v>
      </c>
      <c r="C70" s="7" t="s">
        <v>75</v>
      </c>
      <c r="D70" s="7">
        <v>350</v>
      </c>
      <c r="E70" s="7">
        <v>1</v>
      </c>
      <c r="F70" s="7" t="s">
        <v>301</v>
      </c>
      <c r="G70" s="15" t="s">
        <v>305</v>
      </c>
      <c r="H70" s="7" t="s">
        <v>113</v>
      </c>
      <c r="I70" s="7" t="s">
        <v>269</v>
      </c>
      <c r="J70" s="7" t="s">
        <v>230</v>
      </c>
      <c r="K70" s="7" t="s">
        <v>270</v>
      </c>
      <c r="L70" s="7" t="s">
        <v>258</v>
      </c>
      <c r="M70" s="7" t="s">
        <v>271</v>
      </c>
      <c r="N70" s="16" t="s">
        <v>84</v>
      </c>
      <c r="O70" s="16" t="s">
        <v>85</v>
      </c>
      <c r="P70" s="17" t="s">
        <v>75</v>
      </c>
      <c r="Q70" s="17" t="s">
        <v>75</v>
      </c>
      <c r="R70" s="17" t="s">
        <v>75</v>
      </c>
      <c r="S70" s="17" t="s">
        <v>75</v>
      </c>
      <c r="T70" s="17" t="s">
        <v>75</v>
      </c>
      <c r="U70" s="17" t="s">
        <v>75</v>
      </c>
    </row>
    <row r="71" spans="1:21" x14ac:dyDescent="0.25">
      <c r="A71" s="7" t="s">
        <v>296</v>
      </c>
      <c r="B71" s="7" t="s">
        <v>297</v>
      </c>
      <c r="C71" s="7" t="s">
        <v>75</v>
      </c>
      <c r="D71" s="7">
        <v>350</v>
      </c>
      <c r="E71" s="7">
        <v>1</v>
      </c>
      <c r="F71" s="7" t="s">
        <v>303</v>
      </c>
      <c r="G71" s="15" t="s">
        <v>306</v>
      </c>
      <c r="H71" s="7" t="s">
        <v>113</v>
      </c>
      <c r="I71" s="7" t="s">
        <v>269</v>
      </c>
      <c r="J71" s="7" t="s">
        <v>230</v>
      </c>
      <c r="K71" s="7" t="s">
        <v>270</v>
      </c>
      <c r="L71" s="7" t="s">
        <v>258</v>
      </c>
      <c r="M71" s="7" t="s">
        <v>271</v>
      </c>
      <c r="N71" s="16" t="s">
        <v>84</v>
      </c>
      <c r="O71" s="16" t="s">
        <v>85</v>
      </c>
      <c r="P71" s="17" t="s">
        <v>75</v>
      </c>
      <c r="Q71" s="17" t="s">
        <v>75</v>
      </c>
      <c r="R71" s="17" t="s">
        <v>75</v>
      </c>
      <c r="S71" s="17" t="s">
        <v>75</v>
      </c>
      <c r="T71" s="17" t="s">
        <v>75</v>
      </c>
      <c r="U71" s="17" t="s">
        <v>75</v>
      </c>
    </row>
    <row r="72" spans="1:21" x14ac:dyDescent="0.25">
      <c r="A72" s="7" t="s">
        <v>296</v>
      </c>
      <c r="B72" s="7" t="s">
        <v>297</v>
      </c>
      <c r="C72" s="7" t="s">
        <v>75</v>
      </c>
      <c r="D72" s="7">
        <v>380</v>
      </c>
      <c r="E72" s="7">
        <v>1.09</v>
      </c>
      <c r="F72" s="7" t="s">
        <v>301</v>
      </c>
      <c r="G72" s="15" t="s">
        <v>307</v>
      </c>
      <c r="H72" s="7" t="s">
        <v>113</v>
      </c>
      <c r="I72" s="7" t="s">
        <v>239</v>
      </c>
      <c r="J72" s="7" t="s">
        <v>230</v>
      </c>
      <c r="K72" s="7" t="s">
        <v>240</v>
      </c>
      <c r="L72" s="7" t="s">
        <v>241</v>
      </c>
      <c r="M72" s="7" t="s">
        <v>242</v>
      </c>
      <c r="N72" s="16" t="s">
        <v>84</v>
      </c>
      <c r="O72" s="16" t="s">
        <v>85</v>
      </c>
      <c r="P72" s="17" t="s">
        <v>75</v>
      </c>
      <c r="Q72" s="17" t="s">
        <v>75</v>
      </c>
      <c r="R72" s="17" t="s">
        <v>75</v>
      </c>
      <c r="S72" s="17" t="s">
        <v>75</v>
      </c>
      <c r="T72" s="17" t="s">
        <v>75</v>
      </c>
      <c r="U72" s="17" t="s">
        <v>75</v>
      </c>
    </row>
    <row r="73" spans="1:21" x14ac:dyDescent="0.25">
      <c r="A73" s="7" t="s">
        <v>296</v>
      </c>
      <c r="B73" s="7" t="s">
        <v>297</v>
      </c>
      <c r="C73" s="7" t="s">
        <v>75</v>
      </c>
      <c r="D73" s="7">
        <v>380</v>
      </c>
      <c r="E73" s="7">
        <v>1.09</v>
      </c>
      <c r="F73" s="7" t="s">
        <v>303</v>
      </c>
      <c r="G73" s="15" t="s">
        <v>308</v>
      </c>
      <c r="H73" s="7" t="s">
        <v>113</v>
      </c>
      <c r="I73" s="7" t="s">
        <v>239</v>
      </c>
      <c r="J73" s="7" t="s">
        <v>230</v>
      </c>
      <c r="K73" s="7" t="s">
        <v>240</v>
      </c>
      <c r="L73" s="7" t="s">
        <v>241</v>
      </c>
      <c r="M73" s="7" t="s">
        <v>242</v>
      </c>
      <c r="N73" s="16" t="s">
        <v>84</v>
      </c>
      <c r="O73" s="16" t="s">
        <v>85</v>
      </c>
      <c r="P73" s="17" t="s">
        <v>75</v>
      </c>
      <c r="Q73" s="17" t="s">
        <v>75</v>
      </c>
      <c r="R73" s="17" t="s">
        <v>75</v>
      </c>
      <c r="S73" s="17" t="s">
        <v>75</v>
      </c>
      <c r="T73" s="17" t="s">
        <v>75</v>
      </c>
      <c r="U73" s="17" t="s">
        <v>75</v>
      </c>
    </row>
    <row r="74" spans="1:21" x14ac:dyDescent="0.25">
      <c r="A74" s="7" t="s">
        <v>296</v>
      </c>
      <c r="B74" s="7" t="s">
        <v>297</v>
      </c>
      <c r="C74" s="7" t="s">
        <v>75</v>
      </c>
      <c r="D74" s="7">
        <v>1100</v>
      </c>
      <c r="E74" s="14">
        <v>3.14</v>
      </c>
      <c r="F74" s="7" t="s">
        <v>303</v>
      </c>
      <c r="G74" s="15" t="s">
        <v>309</v>
      </c>
      <c r="H74" s="7" t="s">
        <v>113</v>
      </c>
      <c r="I74" s="7" t="s">
        <v>79</v>
      </c>
      <c r="J74" s="7" t="s">
        <v>230</v>
      </c>
      <c r="K74" s="7" t="s">
        <v>247</v>
      </c>
      <c r="L74" s="7" t="s">
        <v>248</v>
      </c>
      <c r="M74" s="7" t="s">
        <v>249</v>
      </c>
      <c r="N74" s="16" t="s">
        <v>84</v>
      </c>
      <c r="O74" s="16" t="s">
        <v>85</v>
      </c>
      <c r="P74" s="17" t="s">
        <v>75</v>
      </c>
      <c r="Q74" s="17" t="s">
        <v>75</v>
      </c>
      <c r="R74" s="17" t="s">
        <v>75</v>
      </c>
      <c r="S74" s="17" t="s">
        <v>75</v>
      </c>
      <c r="T74" s="17" t="s">
        <v>75</v>
      </c>
      <c r="U74" s="17" t="s">
        <v>75</v>
      </c>
    </row>
    <row r="75" spans="1:21" x14ac:dyDescent="0.25">
      <c r="A75" s="7" t="s">
        <v>296</v>
      </c>
      <c r="B75" s="7" t="s">
        <v>297</v>
      </c>
      <c r="C75" s="7" t="s">
        <v>75</v>
      </c>
      <c r="D75" s="7">
        <v>1100</v>
      </c>
      <c r="E75" s="14">
        <v>3.14</v>
      </c>
      <c r="F75" s="7" t="s">
        <v>301</v>
      </c>
      <c r="G75" s="15" t="s">
        <v>310</v>
      </c>
      <c r="H75" s="7" t="s">
        <v>113</v>
      </c>
      <c r="I75" s="7" t="s">
        <v>79</v>
      </c>
      <c r="J75" s="7" t="s">
        <v>230</v>
      </c>
      <c r="K75" s="7" t="s">
        <v>247</v>
      </c>
      <c r="L75" s="7" t="s">
        <v>248</v>
      </c>
      <c r="M75" s="7" t="s">
        <v>249</v>
      </c>
      <c r="N75" s="16" t="s">
        <v>84</v>
      </c>
      <c r="O75" s="16" t="s">
        <v>85</v>
      </c>
      <c r="P75" s="17" t="s">
        <v>75</v>
      </c>
      <c r="Q75" s="17" t="s">
        <v>75</v>
      </c>
      <c r="R75" s="17" t="s">
        <v>75</v>
      </c>
      <c r="S75" s="17" t="s">
        <v>75</v>
      </c>
      <c r="T75" s="17" t="s">
        <v>75</v>
      </c>
      <c r="U75" s="17" t="s">
        <v>75</v>
      </c>
    </row>
    <row r="76" spans="1:21" x14ac:dyDescent="0.25">
      <c r="A76" s="6" t="s">
        <v>311</v>
      </c>
      <c r="B76" s="6" t="s">
        <v>312</v>
      </c>
      <c r="C76" s="7" t="s">
        <v>75</v>
      </c>
      <c r="D76" s="7">
        <v>65</v>
      </c>
      <c r="E76" s="7">
        <v>0.87</v>
      </c>
      <c r="F76" s="7" t="s">
        <v>312</v>
      </c>
      <c r="G76" s="15" t="s">
        <v>313</v>
      </c>
      <c r="H76" s="7" t="s">
        <v>113</v>
      </c>
      <c r="I76" s="7" t="s">
        <v>126</v>
      </c>
      <c r="J76" s="7" t="s">
        <v>121</v>
      </c>
      <c r="K76" s="7" t="s">
        <v>127</v>
      </c>
      <c r="L76" s="7" t="s">
        <v>128</v>
      </c>
      <c r="M76" s="7" t="s">
        <v>129</v>
      </c>
      <c r="N76" s="16" t="s">
        <v>84</v>
      </c>
      <c r="O76" s="16" t="s">
        <v>85</v>
      </c>
      <c r="P76" s="17" t="s">
        <v>75</v>
      </c>
      <c r="Q76" s="17" t="s">
        <v>75</v>
      </c>
      <c r="R76" s="17" t="s">
        <v>75</v>
      </c>
      <c r="S76" s="17" t="s">
        <v>75</v>
      </c>
      <c r="T76" s="17" t="s">
        <v>75</v>
      </c>
      <c r="U76" s="17" t="s">
        <v>75</v>
      </c>
    </row>
    <row r="77" spans="1:21" x14ac:dyDescent="0.25">
      <c r="A77" s="6" t="s">
        <v>311</v>
      </c>
      <c r="B77" s="6" t="s">
        <v>312</v>
      </c>
      <c r="C77" s="7" t="s">
        <v>75</v>
      </c>
      <c r="D77" s="7">
        <v>75</v>
      </c>
      <c r="E77" s="7">
        <v>1</v>
      </c>
      <c r="F77" s="7" t="s">
        <v>312</v>
      </c>
      <c r="G77" s="15" t="s">
        <v>314</v>
      </c>
      <c r="H77" s="7" t="s">
        <v>113</v>
      </c>
      <c r="I77" s="7" t="s">
        <v>120</v>
      </c>
      <c r="J77" s="7" t="s">
        <v>121</v>
      </c>
      <c r="K77" s="7" t="s">
        <v>122</v>
      </c>
      <c r="L77" s="7" t="s">
        <v>123</v>
      </c>
      <c r="M77" s="7" t="s">
        <v>124</v>
      </c>
      <c r="N77" s="16" t="s">
        <v>84</v>
      </c>
      <c r="O77" s="16" t="s">
        <v>85</v>
      </c>
      <c r="P77" s="17" t="s">
        <v>75</v>
      </c>
      <c r="Q77" s="17" t="s">
        <v>75</v>
      </c>
      <c r="R77" s="17" t="s">
        <v>75</v>
      </c>
      <c r="S77" s="17" t="s">
        <v>75</v>
      </c>
      <c r="T77" s="17" t="s">
        <v>75</v>
      </c>
      <c r="U77" s="17" t="s">
        <v>75</v>
      </c>
    </row>
    <row r="78" spans="1:21" x14ac:dyDescent="0.25">
      <c r="A78" s="6" t="s">
        <v>311</v>
      </c>
      <c r="B78" s="6" t="s">
        <v>312</v>
      </c>
      <c r="C78" s="7" t="s">
        <v>75</v>
      </c>
      <c r="D78" s="7">
        <v>75</v>
      </c>
      <c r="E78" s="7">
        <v>1</v>
      </c>
      <c r="F78" s="7" t="s">
        <v>315</v>
      </c>
      <c r="G78" s="15" t="s">
        <v>314</v>
      </c>
      <c r="H78" s="7" t="s">
        <v>113</v>
      </c>
      <c r="I78" s="7" t="s">
        <v>120</v>
      </c>
      <c r="J78" s="7" t="s">
        <v>121</v>
      </c>
      <c r="K78" s="7" t="s">
        <v>316</v>
      </c>
      <c r="L78" s="7" t="s">
        <v>317</v>
      </c>
      <c r="M78" s="7" t="s">
        <v>318</v>
      </c>
      <c r="N78" s="16" t="s">
        <v>84</v>
      </c>
      <c r="O78" s="16" t="s">
        <v>85</v>
      </c>
      <c r="P78" s="17" t="s">
        <v>75</v>
      </c>
      <c r="Q78" s="17" t="s">
        <v>75</v>
      </c>
      <c r="R78" s="17" t="s">
        <v>75</v>
      </c>
      <c r="S78" s="17" t="s">
        <v>75</v>
      </c>
      <c r="T78" s="17" t="s">
        <v>75</v>
      </c>
      <c r="U78" s="17" t="s">
        <v>75</v>
      </c>
    </row>
    <row r="79" spans="1:21" x14ac:dyDescent="0.25">
      <c r="A79" s="6" t="s">
        <v>311</v>
      </c>
      <c r="B79" s="6" t="s">
        <v>312</v>
      </c>
      <c r="C79" s="7" t="s">
        <v>75</v>
      </c>
      <c r="D79" s="7">
        <v>220</v>
      </c>
      <c r="E79" s="14">
        <v>2.93</v>
      </c>
      <c r="F79" s="7" t="s">
        <v>312</v>
      </c>
      <c r="G79" s="15" t="s">
        <v>319</v>
      </c>
      <c r="H79" s="7" t="s">
        <v>113</v>
      </c>
      <c r="I79" s="7" t="s">
        <v>133</v>
      </c>
      <c r="J79" s="7" t="s">
        <v>121</v>
      </c>
      <c r="K79" s="7" t="s">
        <v>134</v>
      </c>
      <c r="L79" s="7" t="s">
        <v>135</v>
      </c>
      <c r="M79" s="7" t="s">
        <v>136</v>
      </c>
      <c r="N79" s="16" t="s">
        <v>84</v>
      </c>
      <c r="O79" s="16" t="s">
        <v>85</v>
      </c>
      <c r="P79" s="17" t="s">
        <v>75</v>
      </c>
      <c r="Q79" s="17" t="s">
        <v>75</v>
      </c>
      <c r="R79" s="17" t="s">
        <v>75</v>
      </c>
      <c r="S79" s="17" t="s">
        <v>75</v>
      </c>
      <c r="T79" s="17" t="s">
        <v>75</v>
      </c>
      <c r="U79" s="17" t="s">
        <v>75</v>
      </c>
    </row>
    <row r="80" spans="1:21" x14ac:dyDescent="0.25">
      <c r="A80" s="7" t="s">
        <v>320</v>
      </c>
      <c r="B80" s="7" t="s">
        <v>321</v>
      </c>
      <c r="C80" s="7" t="s">
        <v>322</v>
      </c>
      <c r="D80" s="7">
        <v>7.1</v>
      </c>
      <c r="E80" s="7">
        <v>0.63</v>
      </c>
      <c r="F80" s="7" t="s">
        <v>323</v>
      </c>
      <c r="G80" s="15" t="s">
        <v>324</v>
      </c>
      <c r="H80" s="7" t="s">
        <v>173</v>
      </c>
      <c r="I80" s="7" t="s">
        <v>79</v>
      </c>
      <c r="J80" s="7" t="s">
        <v>174</v>
      </c>
      <c r="K80" s="7" t="s">
        <v>175</v>
      </c>
      <c r="L80" s="7" t="s">
        <v>176</v>
      </c>
      <c r="M80" s="7" t="s">
        <v>177</v>
      </c>
      <c r="N80" s="16" t="s">
        <v>84</v>
      </c>
      <c r="O80" s="16" t="s">
        <v>85</v>
      </c>
      <c r="P80" s="17" t="s">
        <v>75</v>
      </c>
      <c r="Q80" s="17" t="s">
        <v>75</v>
      </c>
      <c r="R80" s="17" t="s">
        <v>75</v>
      </c>
      <c r="S80" s="17" t="s">
        <v>75</v>
      </c>
      <c r="T80" s="17" t="s">
        <v>75</v>
      </c>
      <c r="U80" s="17" t="s">
        <v>75</v>
      </c>
    </row>
    <row r="81" spans="1:21" x14ac:dyDescent="0.25">
      <c r="A81" s="7" t="s">
        <v>320</v>
      </c>
      <c r="B81" s="7" t="s">
        <v>321</v>
      </c>
      <c r="C81" s="7" t="s">
        <v>322</v>
      </c>
      <c r="D81" s="7">
        <v>7.1</v>
      </c>
      <c r="E81" s="7">
        <v>0.63</v>
      </c>
      <c r="F81" s="7" t="s">
        <v>323</v>
      </c>
      <c r="G81" s="15" t="s">
        <v>324</v>
      </c>
      <c r="H81" s="7" t="s">
        <v>173</v>
      </c>
      <c r="I81" s="7" t="s">
        <v>79</v>
      </c>
      <c r="J81" s="7" t="s">
        <v>173</v>
      </c>
      <c r="K81" s="7" t="s">
        <v>325</v>
      </c>
      <c r="L81" s="7" t="s">
        <v>75</v>
      </c>
      <c r="M81" s="7" t="s">
        <v>326</v>
      </c>
      <c r="N81" s="16" t="s">
        <v>84</v>
      </c>
      <c r="O81" s="16" t="s">
        <v>85</v>
      </c>
      <c r="P81" s="17" t="s">
        <v>75</v>
      </c>
      <c r="Q81" s="17" t="s">
        <v>75</v>
      </c>
      <c r="R81" s="17" t="s">
        <v>75</v>
      </c>
      <c r="S81" s="17" t="s">
        <v>75</v>
      </c>
      <c r="T81" s="17" t="s">
        <v>75</v>
      </c>
      <c r="U81" s="17" t="s">
        <v>75</v>
      </c>
    </row>
    <row r="82" spans="1:21" x14ac:dyDescent="0.25">
      <c r="A82" s="7" t="s">
        <v>320</v>
      </c>
      <c r="B82" s="7" t="s">
        <v>321</v>
      </c>
      <c r="C82" s="7" t="s">
        <v>322</v>
      </c>
      <c r="D82" s="7">
        <v>7.1</v>
      </c>
      <c r="E82" s="7">
        <v>0.63</v>
      </c>
      <c r="F82" s="7" t="s">
        <v>323</v>
      </c>
      <c r="G82" s="15" t="s">
        <v>324</v>
      </c>
      <c r="H82" s="7" t="s">
        <v>173</v>
      </c>
      <c r="I82" s="7" t="s">
        <v>79</v>
      </c>
      <c r="J82" s="7" t="s">
        <v>173</v>
      </c>
      <c r="K82" s="7" t="s">
        <v>75</v>
      </c>
      <c r="L82" s="7" t="s">
        <v>186</v>
      </c>
      <c r="M82" s="7" t="s">
        <v>183</v>
      </c>
      <c r="N82" s="16" t="s">
        <v>84</v>
      </c>
      <c r="O82" s="16" t="s">
        <v>85</v>
      </c>
      <c r="P82" s="17" t="s">
        <v>75</v>
      </c>
      <c r="Q82" s="17" t="s">
        <v>75</v>
      </c>
      <c r="R82" s="17" t="s">
        <v>75</v>
      </c>
      <c r="S82" s="17" t="s">
        <v>75</v>
      </c>
      <c r="T82" s="17" t="s">
        <v>75</v>
      </c>
      <c r="U82" s="17" t="s">
        <v>75</v>
      </c>
    </row>
    <row r="83" spans="1:21" x14ac:dyDescent="0.25">
      <c r="A83" s="7" t="s">
        <v>320</v>
      </c>
      <c r="B83" s="7" t="s">
        <v>321</v>
      </c>
      <c r="C83" s="7" t="s">
        <v>322</v>
      </c>
      <c r="D83" s="7">
        <v>11.28</v>
      </c>
      <c r="E83" s="7">
        <v>1</v>
      </c>
      <c r="F83" s="7" t="s">
        <v>321</v>
      </c>
      <c r="G83" s="15" t="s">
        <v>327</v>
      </c>
      <c r="H83" s="7" t="s">
        <v>173</v>
      </c>
      <c r="I83" s="7" t="s">
        <v>179</v>
      </c>
      <c r="J83" s="7" t="s">
        <v>174</v>
      </c>
      <c r="K83" s="7" t="s">
        <v>328</v>
      </c>
      <c r="L83" s="7" t="s">
        <v>329</v>
      </c>
      <c r="M83" s="7" t="s">
        <v>330</v>
      </c>
      <c r="N83" s="16" t="s">
        <v>84</v>
      </c>
      <c r="O83" s="16" t="s">
        <v>85</v>
      </c>
      <c r="P83" s="17" t="s">
        <v>75</v>
      </c>
      <c r="Q83" s="17" t="s">
        <v>75</v>
      </c>
      <c r="R83" s="17" t="s">
        <v>75</v>
      </c>
      <c r="S83" s="17" t="s">
        <v>75</v>
      </c>
      <c r="T83" s="17" t="s">
        <v>75</v>
      </c>
      <c r="U83" s="17" t="s">
        <v>75</v>
      </c>
    </row>
    <row r="84" spans="1:21" x14ac:dyDescent="0.25">
      <c r="A84" s="7" t="s">
        <v>320</v>
      </c>
      <c r="B84" s="7" t="s">
        <v>321</v>
      </c>
      <c r="C84" s="7" t="s">
        <v>322</v>
      </c>
      <c r="D84" s="7">
        <v>11.28</v>
      </c>
      <c r="E84" s="7">
        <v>1</v>
      </c>
      <c r="F84" s="7" t="s">
        <v>331</v>
      </c>
      <c r="G84" s="15" t="s">
        <v>332</v>
      </c>
      <c r="H84" s="7" t="s">
        <v>173</v>
      </c>
      <c r="I84" s="7" t="s">
        <v>79</v>
      </c>
      <c r="J84" s="7" t="s">
        <v>174</v>
      </c>
      <c r="K84" s="7" t="s">
        <v>333</v>
      </c>
      <c r="L84" s="7" t="s">
        <v>140</v>
      </c>
      <c r="M84" s="7" t="s">
        <v>334</v>
      </c>
      <c r="N84" s="16" t="s">
        <v>84</v>
      </c>
      <c r="O84" s="16" t="s">
        <v>85</v>
      </c>
      <c r="P84" s="17" t="s">
        <v>75</v>
      </c>
      <c r="Q84" s="17" t="s">
        <v>75</v>
      </c>
      <c r="R84" s="17" t="s">
        <v>75</v>
      </c>
      <c r="S84" s="17" t="s">
        <v>75</v>
      </c>
      <c r="T84" s="17" t="s">
        <v>75</v>
      </c>
      <c r="U84" s="17" t="s">
        <v>75</v>
      </c>
    </row>
    <row r="85" spans="1:21" x14ac:dyDescent="0.25">
      <c r="A85" s="7" t="s">
        <v>320</v>
      </c>
      <c r="B85" s="7" t="s">
        <v>321</v>
      </c>
      <c r="C85" s="7" t="s">
        <v>322</v>
      </c>
      <c r="D85" s="7">
        <v>11.28</v>
      </c>
      <c r="E85" s="7">
        <v>1</v>
      </c>
      <c r="F85" s="7" t="s">
        <v>321</v>
      </c>
      <c r="G85" s="15" t="s">
        <v>327</v>
      </c>
      <c r="H85" s="7" t="s">
        <v>173</v>
      </c>
      <c r="I85" s="7" t="s">
        <v>79</v>
      </c>
      <c r="J85" s="7" t="s">
        <v>174</v>
      </c>
      <c r="K85" s="7" t="s">
        <v>335</v>
      </c>
      <c r="L85" s="7" t="s">
        <v>336</v>
      </c>
      <c r="M85" s="7" t="s">
        <v>337</v>
      </c>
      <c r="N85" s="16" t="s">
        <v>84</v>
      </c>
      <c r="O85" s="16" t="s">
        <v>85</v>
      </c>
      <c r="P85" s="17" t="s">
        <v>75</v>
      </c>
      <c r="Q85" s="17" t="s">
        <v>75</v>
      </c>
      <c r="R85" s="17" t="s">
        <v>75</v>
      </c>
      <c r="S85" s="17" t="s">
        <v>75</v>
      </c>
      <c r="T85" s="17" t="s">
        <v>75</v>
      </c>
      <c r="U85" s="17" t="s">
        <v>75</v>
      </c>
    </row>
    <row r="86" spans="1:21" x14ac:dyDescent="0.25">
      <c r="A86" s="7" t="s">
        <v>320</v>
      </c>
      <c r="B86" s="7" t="s">
        <v>321</v>
      </c>
      <c r="C86" s="7" t="s">
        <v>322</v>
      </c>
      <c r="D86" s="7">
        <v>11.28</v>
      </c>
      <c r="E86" s="7">
        <v>1</v>
      </c>
      <c r="F86" s="7" t="s">
        <v>338</v>
      </c>
      <c r="G86" s="15" t="s">
        <v>327</v>
      </c>
      <c r="H86" s="7" t="s">
        <v>173</v>
      </c>
      <c r="I86" s="7" t="s">
        <v>79</v>
      </c>
      <c r="J86" s="7" t="s">
        <v>173</v>
      </c>
      <c r="K86" s="7" t="s">
        <v>325</v>
      </c>
      <c r="L86" s="7" t="s">
        <v>75</v>
      </c>
      <c r="M86" s="7" t="s">
        <v>326</v>
      </c>
      <c r="N86" s="16" t="s">
        <v>84</v>
      </c>
      <c r="O86" s="16" t="s">
        <v>85</v>
      </c>
      <c r="P86" s="17" t="s">
        <v>75</v>
      </c>
      <c r="Q86" s="17" t="s">
        <v>75</v>
      </c>
      <c r="R86" s="17" t="s">
        <v>75</v>
      </c>
      <c r="S86" s="17" t="s">
        <v>75</v>
      </c>
      <c r="T86" s="17" t="s">
        <v>75</v>
      </c>
      <c r="U86" s="17" t="s">
        <v>75</v>
      </c>
    </row>
    <row r="87" spans="1:21" x14ac:dyDescent="0.25">
      <c r="A87" s="7" t="s">
        <v>320</v>
      </c>
      <c r="B87" s="7" t="s">
        <v>321</v>
      </c>
      <c r="C87" s="7" t="s">
        <v>322</v>
      </c>
      <c r="D87" s="7">
        <v>11.28</v>
      </c>
      <c r="E87" s="7">
        <v>1</v>
      </c>
      <c r="F87" s="7" t="s">
        <v>321</v>
      </c>
      <c r="G87" s="15" t="s">
        <v>327</v>
      </c>
      <c r="H87" s="7" t="s">
        <v>173</v>
      </c>
      <c r="I87" s="7" t="s">
        <v>79</v>
      </c>
      <c r="J87" s="7" t="s">
        <v>173</v>
      </c>
      <c r="K87" s="7" t="s">
        <v>75</v>
      </c>
      <c r="L87" s="7" t="s">
        <v>186</v>
      </c>
      <c r="M87" s="7" t="s">
        <v>183</v>
      </c>
      <c r="N87" s="16" t="s">
        <v>84</v>
      </c>
      <c r="O87" s="16" t="s">
        <v>85</v>
      </c>
      <c r="P87" s="17" t="s">
        <v>75</v>
      </c>
      <c r="Q87" s="17" t="s">
        <v>75</v>
      </c>
      <c r="R87" s="17" t="s">
        <v>75</v>
      </c>
      <c r="S87" s="17" t="s">
        <v>75</v>
      </c>
      <c r="T87" s="17" t="s">
        <v>75</v>
      </c>
      <c r="U87" s="17" t="s">
        <v>75</v>
      </c>
    </row>
    <row r="88" spans="1:21" x14ac:dyDescent="0.25">
      <c r="A88" s="6" t="s">
        <v>339</v>
      </c>
      <c r="B88" s="6" t="s">
        <v>340</v>
      </c>
      <c r="C88" s="7" t="s">
        <v>322</v>
      </c>
      <c r="D88" s="7">
        <v>260</v>
      </c>
      <c r="E88" s="7">
        <v>0.75</v>
      </c>
      <c r="F88" s="7" t="s">
        <v>341</v>
      </c>
      <c r="G88" s="15" t="s">
        <v>342</v>
      </c>
      <c r="H88" s="7" t="s">
        <v>113</v>
      </c>
      <c r="I88" s="7" t="s">
        <v>120</v>
      </c>
      <c r="J88" s="7" t="s">
        <v>121</v>
      </c>
      <c r="K88" s="7" t="s">
        <v>316</v>
      </c>
      <c r="L88" s="7" t="s">
        <v>317</v>
      </c>
      <c r="M88" s="7" t="s">
        <v>318</v>
      </c>
      <c r="N88" s="16" t="s">
        <v>84</v>
      </c>
      <c r="O88" s="16" t="s">
        <v>85</v>
      </c>
      <c r="P88" s="17" t="s">
        <v>75</v>
      </c>
      <c r="Q88" s="17" t="s">
        <v>75</v>
      </c>
      <c r="R88" s="17" t="s">
        <v>75</v>
      </c>
      <c r="S88" s="17" t="s">
        <v>75</v>
      </c>
      <c r="T88" s="17" t="s">
        <v>75</v>
      </c>
      <c r="U88" s="17" t="s">
        <v>75</v>
      </c>
    </row>
    <row r="89" spans="1:21" x14ac:dyDescent="0.25">
      <c r="A89" s="6" t="s">
        <v>339</v>
      </c>
      <c r="B89" s="6" t="s">
        <v>340</v>
      </c>
      <c r="C89" s="7" t="s">
        <v>322</v>
      </c>
      <c r="D89" s="7">
        <v>280</v>
      </c>
      <c r="E89" s="7">
        <v>0.81</v>
      </c>
      <c r="F89" s="7" t="s">
        <v>340</v>
      </c>
      <c r="G89" s="15" t="s">
        <v>343</v>
      </c>
      <c r="H89" s="7" t="s">
        <v>113</v>
      </c>
      <c r="I89" s="7" t="s">
        <v>235</v>
      </c>
      <c r="J89" s="7" t="s">
        <v>230</v>
      </c>
      <c r="K89" s="7" t="s">
        <v>282</v>
      </c>
      <c r="L89" s="7" t="s">
        <v>232</v>
      </c>
      <c r="M89" s="7" t="s">
        <v>283</v>
      </c>
      <c r="N89" s="16" t="s">
        <v>84</v>
      </c>
      <c r="O89" s="16" t="s">
        <v>85</v>
      </c>
      <c r="P89" s="17" t="s">
        <v>75</v>
      </c>
      <c r="Q89" s="17" t="s">
        <v>75</v>
      </c>
      <c r="R89" s="17" t="s">
        <v>75</v>
      </c>
      <c r="S89" s="17" t="s">
        <v>75</v>
      </c>
      <c r="T89" s="17" t="s">
        <v>75</v>
      </c>
      <c r="U89" s="17" t="s">
        <v>75</v>
      </c>
    </row>
    <row r="90" spans="1:21" x14ac:dyDescent="0.25">
      <c r="A90" s="6" t="s">
        <v>339</v>
      </c>
      <c r="B90" s="6" t="s">
        <v>340</v>
      </c>
      <c r="C90" s="7" t="s">
        <v>322</v>
      </c>
      <c r="D90" s="7">
        <v>290</v>
      </c>
      <c r="E90" s="7">
        <v>0.84</v>
      </c>
      <c r="F90" s="7" t="s">
        <v>340</v>
      </c>
      <c r="G90" s="15" t="s">
        <v>344</v>
      </c>
      <c r="H90" s="7" t="s">
        <v>113</v>
      </c>
      <c r="I90" s="7" t="s">
        <v>345</v>
      </c>
      <c r="J90" s="7" t="s">
        <v>230</v>
      </c>
      <c r="K90" s="7" t="s">
        <v>346</v>
      </c>
      <c r="L90" s="7" t="s">
        <v>258</v>
      </c>
      <c r="M90" s="7" t="s">
        <v>347</v>
      </c>
      <c r="N90" s="16" t="s">
        <v>84</v>
      </c>
      <c r="O90" s="16" t="s">
        <v>85</v>
      </c>
      <c r="P90" s="17" t="s">
        <v>75</v>
      </c>
      <c r="Q90" s="17" t="s">
        <v>75</v>
      </c>
      <c r="R90" s="17" t="s">
        <v>75</v>
      </c>
      <c r="S90" s="17" t="s">
        <v>75</v>
      </c>
      <c r="T90" s="17" t="s">
        <v>75</v>
      </c>
      <c r="U90" s="17" t="s">
        <v>75</v>
      </c>
    </row>
    <row r="91" spans="1:21" x14ac:dyDescent="0.25">
      <c r="A91" s="6" t="s">
        <v>339</v>
      </c>
      <c r="B91" s="6" t="s">
        <v>340</v>
      </c>
      <c r="C91" s="7" t="s">
        <v>322</v>
      </c>
      <c r="D91" s="7">
        <v>340</v>
      </c>
      <c r="E91" s="7">
        <v>0.99</v>
      </c>
      <c r="F91" s="7" t="s">
        <v>340</v>
      </c>
      <c r="G91" s="15" t="s">
        <v>344</v>
      </c>
      <c r="H91" s="7" t="s">
        <v>113</v>
      </c>
      <c r="I91" s="7" t="s">
        <v>239</v>
      </c>
      <c r="J91" s="7" t="s">
        <v>230</v>
      </c>
      <c r="K91" s="7" t="s">
        <v>240</v>
      </c>
      <c r="L91" s="7" t="s">
        <v>241</v>
      </c>
      <c r="M91" s="7" t="s">
        <v>242</v>
      </c>
      <c r="N91" s="16" t="s">
        <v>84</v>
      </c>
      <c r="O91" s="16" t="s">
        <v>85</v>
      </c>
      <c r="P91" s="17" t="s">
        <v>75</v>
      </c>
      <c r="Q91" s="17" t="s">
        <v>75</v>
      </c>
      <c r="R91" s="17" t="s">
        <v>75</v>
      </c>
      <c r="S91" s="17" t="s">
        <v>75</v>
      </c>
      <c r="T91" s="17" t="s">
        <v>75</v>
      </c>
      <c r="U91" s="17" t="s">
        <v>75</v>
      </c>
    </row>
    <row r="92" spans="1:21" x14ac:dyDescent="0.25">
      <c r="A92" s="6" t="s">
        <v>339</v>
      </c>
      <c r="B92" s="6" t="s">
        <v>340</v>
      </c>
      <c r="C92" s="7" t="s">
        <v>322</v>
      </c>
      <c r="D92" s="7">
        <v>350</v>
      </c>
      <c r="E92" s="7">
        <v>1.01</v>
      </c>
      <c r="F92" s="7" t="s">
        <v>341</v>
      </c>
      <c r="G92" s="15" t="s">
        <v>348</v>
      </c>
      <c r="H92" s="7" t="s">
        <v>113</v>
      </c>
      <c r="I92" s="7" t="s">
        <v>79</v>
      </c>
      <c r="J92" s="7" t="s">
        <v>138</v>
      </c>
      <c r="K92" s="7" t="s">
        <v>159</v>
      </c>
      <c r="L92" s="7" t="s">
        <v>160</v>
      </c>
      <c r="M92" s="7" t="s">
        <v>161</v>
      </c>
      <c r="N92" s="16" t="s">
        <v>84</v>
      </c>
      <c r="O92" s="16" t="s">
        <v>85</v>
      </c>
      <c r="P92" s="17" t="s">
        <v>75</v>
      </c>
      <c r="Q92" s="17" t="s">
        <v>75</v>
      </c>
      <c r="R92" s="17" t="s">
        <v>75</v>
      </c>
      <c r="S92" s="17" t="s">
        <v>75</v>
      </c>
      <c r="T92" s="17" t="s">
        <v>75</v>
      </c>
      <c r="U92" s="17" t="s">
        <v>75</v>
      </c>
    </row>
    <row r="93" spans="1:21" x14ac:dyDescent="0.25">
      <c r="A93" s="6" t="s">
        <v>339</v>
      </c>
      <c r="B93" s="6" t="s">
        <v>340</v>
      </c>
      <c r="C93" s="7" t="s">
        <v>322</v>
      </c>
      <c r="D93" s="7">
        <v>360</v>
      </c>
      <c r="E93" s="7">
        <v>1.04</v>
      </c>
      <c r="F93" s="7" t="s">
        <v>341</v>
      </c>
      <c r="G93" s="15" t="s">
        <v>349</v>
      </c>
      <c r="H93" s="7" t="s">
        <v>113</v>
      </c>
      <c r="I93" s="7" t="s">
        <v>276</v>
      </c>
      <c r="J93" s="7" t="s">
        <v>138</v>
      </c>
      <c r="K93" s="7" t="s">
        <v>277</v>
      </c>
      <c r="L93" s="7" t="s">
        <v>278</v>
      </c>
      <c r="M93" s="7" t="s">
        <v>279</v>
      </c>
      <c r="N93" s="16" t="s">
        <v>84</v>
      </c>
      <c r="O93" s="16" t="s">
        <v>85</v>
      </c>
      <c r="P93" s="17" t="s">
        <v>75</v>
      </c>
      <c r="Q93" s="17" t="s">
        <v>75</v>
      </c>
      <c r="R93" s="17" t="s">
        <v>75</v>
      </c>
      <c r="S93" s="17" t="s">
        <v>75</v>
      </c>
      <c r="T93" s="17" t="s">
        <v>75</v>
      </c>
      <c r="U93" s="17" t="s">
        <v>75</v>
      </c>
    </row>
    <row r="94" spans="1:21" x14ac:dyDescent="0.25">
      <c r="A94" s="6" t="s">
        <v>339</v>
      </c>
      <c r="B94" s="6" t="s">
        <v>340</v>
      </c>
      <c r="C94" s="7" t="s">
        <v>322</v>
      </c>
      <c r="D94" s="7">
        <v>380</v>
      </c>
      <c r="E94" s="7">
        <v>1.1</v>
      </c>
      <c r="F94" s="7" t="s">
        <v>341</v>
      </c>
      <c r="G94" s="15" t="s">
        <v>350</v>
      </c>
      <c r="H94" s="7" t="s">
        <v>113</v>
      </c>
      <c r="I94" s="7" t="s">
        <v>79</v>
      </c>
      <c r="J94" s="7" t="s">
        <v>138</v>
      </c>
      <c r="K94" s="7" t="s">
        <v>143</v>
      </c>
      <c r="L94" s="7" t="s">
        <v>144</v>
      </c>
      <c r="M94" s="7" t="s">
        <v>145</v>
      </c>
      <c r="N94" s="16" t="s">
        <v>84</v>
      </c>
      <c r="O94" s="16" t="s">
        <v>85</v>
      </c>
      <c r="P94" s="17" t="s">
        <v>75</v>
      </c>
      <c r="Q94" s="17" t="s">
        <v>75</v>
      </c>
      <c r="R94" s="17" t="s">
        <v>75</v>
      </c>
      <c r="S94" s="17" t="s">
        <v>75</v>
      </c>
      <c r="T94" s="17" t="s">
        <v>75</v>
      </c>
      <c r="U94" s="17" t="s">
        <v>75</v>
      </c>
    </row>
    <row r="95" spans="1:21" x14ac:dyDescent="0.25">
      <c r="A95" s="6" t="s">
        <v>339</v>
      </c>
      <c r="B95" s="6" t="s">
        <v>340</v>
      </c>
      <c r="C95" s="7" t="s">
        <v>322</v>
      </c>
      <c r="D95" s="7">
        <v>400</v>
      </c>
      <c r="E95" s="7">
        <v>1.16</v>
      </c>
      <c r="F95" s="7" t="s">
        <v>340</v>
      </c>
      <c r="G95" s="15" t="s">
        <v>351</v>
      </c>
      <c r="H95" s="7" t="s">
        <v>113</v>
      </c>
      <c r="I95" s="7" t="s">
        <v>79</v>
      </c>
      <c r="J95" s="7" t="s">
        <v>230</v>
      </c>
      <c r="K95" s="7" t="s">
        <v>352</v>
      </c>
      <c r="L95" s="7" t="s">
        <v>258</v>
      </c>
      <c r="M95" s="7" t="s">
        <v>353</v>
      </c>
      <c r="N95" s="16" t="s">
        <v>84</v>
      </c>
      <c r="O95" s="16" t="s">
        <v>85</v>
      </c>
      <c r="P95" s="17" t="s">
        <v>75</v>
      </c>
      <c r="Q95" s="17" t="s">
        <v>75</v>
      </c>
      <c r="R95" s="17" t="s">
        <v>75</v>
      </c>
      <c r="S95" s="17" t="s">
        <v>75</v>
      </c>
      <c r="T95" s="17" t="s">
        <v>75</v>
      </c>
      <c r="U95" s="17" t="s">
        <v>75</v>
      </c>
    </row>
    <row r="96" spans="1:21" x14ac:dyDescent="0.25">
      <c r="A96" s="7" t="s">
        <v>354</v>
      </c>
      <c r="B96" s="7" t="s">
        <v>355</v>
      </c>
      <c r="C96" s="7" t="s">
        <v>322</v>
      </c>
      <c r="D96" s="7">
        <v>84</v>
      </c>
      <c r="E96" s="7">
        <v>0.8</v>
      </c>
      <c r="F96" s="7" t="s">
        <v>356</v>
      </c>
      <c r="G96" s="15" t="s">
        <v>357</v>
      </c>
      <c r="H96" s="7" t="s">
        <v>78</v>
      </c>
      <c r="I96" s="7" t="s">
        <v>79</v>
      </c>
      <c r="J96" s="7" t="s">
        <v>80</v>
      </c>
      <c r="K96" s="7" t="s">
        <v>358</v>
      </c>
      <c r="L96" s="7" t="s">
        <v>359</v>
      </c>
      <c r="M96" s="7" t="s">
        <v>360</v>
      </c>
      <c r="N96" s="16" t="s">
        <v>84</v>
      </c>
      <c r="O96" s="16" t="s">
        <v>85</v>
      </c>
      <c r="P96" s="17" t="s">
        <v>75</v>
      </c>
      <c r="Q96" s="17" t="s">
        <v>75</v>
      </c>
      <c r="R96" s="17" t="s">
        <v>75</v>
      </c>
      <c r="S96" s="17" t="s">
        <v>75</v>
      </c>
      <c r="T96" s="17" t="s">
        <v>75</v>
      </c>
      <c r="U96" s="17" t="s">
        <v>75</v>
      </c>
    </row>
    <row r="97" spans="1:21" x14ac:dyDescent="0.25">
      <c r="A97" s="7" t="s">
        <v>354</v>
      </c>
      <c r="B97" s="7" t="s">
        <v>355</v>
      </c>
      <c r="C97" s="7" t="s">
        <v>322</v>
      </c>
      <c r="D97" s="7">
        <v>90</v>
      </c>
      <c r="E97" s="7">
        <v>0.86</v>
      </c>
      <c r="F97" s="7" t="s">
        <v>355</v>
      </c>
      <c r="G97" s="15" t="s">
        <v>361</v>
      </c>
      <c r="H97" s="7" t="s">
        <v>78</v>
      </c>
      <c r="I97" s="7" t="s">
        <v>79</v>
      </c>
      <c r="J97" s="7" t="s">
        <v>80</v>
      </c>
      <c r="K97" s="7" t="s">
        <v>94</v>
      </c>
      <c r="L97" s="7" t="s">
        <v>95</v>
      </c>
      <c r="M97" s="7" t="s">
        <v>96</v>
      </c>
      <c r="N97" s="16" t="s">
        <v>84</v>
      </c>
      <c r="O97" s="16" t="s">
        <v>85</v>
      </c>
      <c r="P97" s="17" t="s">
        <v>75</v>
      </c>
      <c r="Q97" s="17" t="s">
        <v>75</v>
      </c>
      <c r="R97" s="17" t="s">
        <v>75</v>
      </c>
      <c r="S97" s="17" t="s">
        <v>75</v>
      </c>
      <c r="T97" s="17" t="s">
        <v>75</v>
      </c>
      <c r="U97" s="17" t="s">
        <v>75</v>
      </c>
    </row>
    <row r="98" spans="1:21" x14ac:dyDescent="0.25">
      <c r="A98" s="7" t="s">
        <v>354</v>
      </c>
      <c r="B98" s="7" t="s">
        <v>355</v>
      </c>
      <c r="C98" s="7" t="s">
        <v>322</v>
      </c>
      <c r="D98" s="7">
        <v>120</v>
      </c>
      <c r="E98" s="7">
        <v>1.14</v>
      </c>
      <c r="F98" s="7" t="s">
        <v>356</v>
      </c>
      <c r="G98" s="15" t="s">
        <v>362</v>
      </c>
      <c r="H98" s="7" t="s">
        <v>78</v>
      </c>
      <c r="I98" s="7" t="s">
        <v>79</v>
      </c>
      <c r="J98" s="7" t="s">
        <v>196</v>
      </c>
      <c r="K98" s="7" t="s">
        <v>363</v>
      </c>
      <c r="L98" s="7" t="s">
        <v>364</v>
      </c>
      <c r="M98" s="7" t="s">
        <v>365</v>
      </c>
      <c r="N98" s="16" t="s">
        <v>84</v>
      </c>
      <c r="O98" s="16" t="s">
        <v>85</v>
      </c>
      <c r="P98" s="17" t="s">
        <v>75</v>
      </c>
      <c r="Q98" s="17" t="s">
        <v>75</v>
      </c>
      <c r="R98" s="17" t="s">
        <v>75</v>
      </c>
      <c r="S98" s="17" t="s">
        <v>75</v>
      </c>
      <c r="T98" s="17" t="s">
        <v>75</v>
      </c>
      <c r="U98" s="17" t="s">
        <v>75</v>
      </c>
    </row>
    <row r="99" spans="1:21" x14ac:dyDescent="0.25">
      <c r="A99" s="7" t="s">
        <v>354</v>
      </c>
      <c r="B99" s="7" t="s">
        <v>355</v>
      </c>
      <c r="C99" s="7" t="s">
        <v>322</v>
      </c>
      <c r="D99" s="7">
        <v>125</v>
      </c>
      <c r="E99" s="7">
        <v>1.19</v>
      </c>
      <c r="F99" s="7" t="s">
        <v>366</v>
      </c>
      <c r="G99" s="15" t="s">
        <v>367</v>
      </c>
      <c r="H99" s="7" t="s">
        <v>78</v>
      </c>
      <c r="I99" s="7" t="s">
        <v>79</v>
      </c>
      <c r="J99" s="7" t="s">
        <v>196</v>
      </c>
      <c r="K99" s="7" t="s">
        <v>197</v>
      </c>
      <c r="L99" s="7" t="s">
        <v>198</v>
      </c>
      <c r="M99" s="7" t="s">
        <v>199</v>
      </c>
      <c r="N99" s="16" t="s">
        <v>84</v>
      </c>
      <c r="O99" s="16" t="s">
        <v>85</v>
      </c>
      <c r="P99" s="17" t="s">
        <v>75</v>
      </c>
      <c r="Q99" s="17" t="s">
        <v>75</v>
      </c>
      <c r="R99" s="17" t="s">
        <v>75</v>
      </c>
      <c r="S99" s="17" t="s">
        <v>75</v>
      </c>
      <c r="T99" s="17" t="s">
        <v>75</v>
      </c>
      <c r="U99" s="17" t="s">
        <v>75</v>
      </c>
    </row>
    <row r="100" spans="1:21" x14ac:dyDescent="0.25">
      <c r="A100" s="6" t="s">
        <v>368</v>
      </c>
      <c r="B100" s="6" t="s">
        <v>369</v>
      </c>
      <c r="C100" s="7" t="s">
        <v>322</v>
      </c>
      <c r="D100" s="7">
        <v>600</v>
      </c>
      <c r="E100" s="7">
        <v>0.9</v>
      </c>
      <c r="F100" s="7" t="s">
        <v>369</v>
      </c>
      <c r="G100" s="15" t="s">
        <v>370</v>
      </c>
      <c r="H100" s="7" t="s">
        <v>113</v>
      </c>
      <c r="I100" s="7" t="s">
        <v>79</v>
      </c>
      <c r="J100" s="7" t="s">
        <v>230</v>
      </c>
      <c r="K100" s="7" t="s">
        <v>371</v>
      </c>
      <c r="L100" s="7" t="s">
        <v>232</v>
      </c>
      <c r="M100" s="7" t="s">
        <v>372</v>
      </c>
      <c r="N100" s="16" t="s">
        <v>84</v>
      </c>
      <c r="O100" s="16" t="s">
        <v>85</v>
      </c>
      <c r="P100" s="17" t="s">
        <v>75</v>
      </c>
      <c r="Q100" s="17" t="s">
        <v>75</v>
      </c>
      <c r="R100" s="17" t="s">
        <v>75</v>
      </c>
      <c r="S100" s="17" t="s">
        <v>75</v>
      </c>
      <c r="T100" s="17" t="s">
        <v>75</v>
      </c>
      <c r="U100" s="17" t="s">
        <v>75</v>
      </c>
    </row>
    <row r="101" spans="1:21" x14ac:dyDescent="0.25">
      <c r="A101" s="6" t="s">
        <v>368</v>
      </c>
      <c r="B101" s="6" t="s">
        <v>369</v>
      </c>
      <c r="C101" s="7" t="s">
        <v>322</v>
      </c>
      <c r="D101" s="7">
        <v>650</v>
      </c>
      <c r="E101" s="7">
        <v>0.98</v>
      </c>
      <c r="F101" s="7" t="s">
        <v>369</v>
      </c>
      <c r="G101" s="15" t="s">
        <v>373</v>
      </c>
      <c r="H101" s="7" t="s">
        <v>113</v>
      </c>
      <c r="I101" s="7" t="s">
        <v>79</v>
      </c>
      <c r="J101" s="7" t="s">
        <v>138</v>
      </c>
      <c r="K101" s="7" t="s">
        <v>143</v>
      </c>
      <c r="L101" s="7" t="s">
        <v>144</v>
      </c>
      <c r="M101" s="7" t="s">
        <v>145</v>
      </c>
      <c r="N101" s="16" t="s">
        <v>84</v>
      </c>
      <c r="O101" s="16" t="s">
        <v>85</v>
      </c>
      <c r="P101" s="17" t="s">
        <v>75</v>
      </c>
      <c r="Q101" s="17" t="s">
        <v>75</v>
      </c>
      <c r="R101" s="17" t="s">
        <v>75</v>
      </c>
      <c r="S101" s="17" t="s">
        <v>75</v>
      </c>
      <c r="T101" s="17" t="s">
        <v>75</v>
      </c>
      <c r="U101" s="17" t="s">
        <v>75</v>
      </c>
    </row>
    <row r="102" spans="1:21" x14ac:dyDescent="0.25">
      <c r="A102" s="6" t="s">
        <v>368</v>
      </c>
      <c r="B102" s="6" t="s">
        <v>369</v>
      </c>
      <c r="C102" s="7" t="s">
        <v>322</v>
      </c>
      <c r="D102" s="7">
        <v>680</v>
      </c>
      <c r="E102" s="7">
        <v>1.02</v>
      </c>
      <c r="F102" s="7" t="s">
        <v>369</v>
      </c>
      <c r="G102" s="15" t="s">
        <v>374</v>
      </c>
      <c r="H102" s="7" t="s">
        <v>113</v>
      </c>
      <c r="I102" s="7" t="s">
        <v>375</v>
      </c>
      <c r="J102" s="7" t="s">
        <v>138</v>
      </c>
      <c r="K102" s="7" t="s">
        <v>376</v>
      </c>
      <c r="L102" s="7" t="s">
        <v>377</v>
      </c>
      <c r="M102" s="7" t="s">
        <v>378</v>
      </c>
      <c r="N102" s="16" t="s">
        <v>84</v>
      </c>
      <c r="O102" s="16" t="s">
        <v>85</v>
      </c>
      <c r="P102" s="17" t="s">
        <v>75</v>
      </c>
      <c r="Q102" s="17" t="s">
        <v>75</v>
      </c>
      <c r="R102" s="17" t="s">
        <v>75</v>
      </c>
      <c r="S102" s="17" t="s">
        <v>75</v>
      </c>
      <c r="T102" s="17" t="s">
        <v>75</v>
      </c>
      <c r="U102" s="17" t="s">
        <v>75</v>
      </c>
    </row>
    <row r="103" spans="1:21" x14ac:dyDescent="0.25">
      <c r="A103" s="6" t="s">
        <v>368</v>
      </c>
      <c r="B103" s="6" t="s">
        <v>369</v>
      </c>
      <c r="C103" s="7" t="s">
        <v>322</v>
      </c>
      <c r="D103" s="7">
        <v>880</v>
      </c>
      <c r="E103" s="7">
        <v>1.32</v>
      </c>
      <c r="F103" s="7" t="s">
        <v>369</v>
      </c>
      <c r="G103" s="15" t="s">
        <v>379</v>
      </c>
      <c r="H103" s="7" t="s">
        <v>113</v>
      </c>
      <c r="I103" s="7" t="s">
        <v>239</v>
      </c>
      <c r="J103" s="7" t="s">
        <v>230</v>
      </c>
      <c r="K103" s="7" t="s">
        <v>240</v>
      </c>
      <c r="L103" s="7" t="s">
        <v>241</v>
      </c>
      <c r="M103" s="7" t="s">
        <v>242</v>
      </c>
      <c r="N103" s="16" t="s">
        <v>84</v>
      </c>
      <c r="O103" s="16" t="s">
        <v>85</v>
      </c>
      <c r="P103" s="17" t="s">
        <v>75</v>
      </c>
      <c r="Q103" s="17" t="s">
        <v>75</v>
      </c>
      <c r="R103" s="17" t="s">
        <v>75</v>
      </c>
      <c r="S103" s="17" t="s">
        <v>75</v>
      </c>
      <c r="T103" s="17" t="s">
        <v>75</v>
      </c>
      <c r="U103" s="17" t="s">
        <v>75</v>
      </c>
    </row>
    <row r="104" spans="1:21" x14ac:dyDescent="0.25">
      <c r="A104" s="7" t="s">
        <v>380</v>
      </c>
      <c r="B104" s="7" t="s">
        <v>381</v>
      </c>
      <c r="C104" s="7" t="s">
        <v>322</v>
      </c>
      <c r="D104" s="7">
        <v>1150</v>
      </c>
      <c r="E104" s="7">
        <v>0.9</v>
      </c>
      <c r="F104" s="7" t="s">
        <v>382</v>
      </c>
      <c r="G104" s="15" t="s">
        <v>383</v>
      </c>
      <c r="H104" s="7" t="s">
        <v>78</v>
      </c>
      <c r="I104" s="7" t="s">
        <v>79</v>
      </c>
      <c r="J104" s="7" t="s">
        <v>80</v>
      </c>
      <c r="K104" s="7" t="s">
        <v>94</v>
      </c>
      <c r="L104" s="7" t="s">
        <v>95</v>
      </c>
      <c r="M104" s="7" t="s">
        <v>96</v>
      </c>
      <c r="N104" s="16" t="s">
        <v>84</v>
      </c>
      <c r="O104" s="16" t="s">
        <v>85</v>
      </c>
      <c r="P104" s="17" t="s">
        <v>75</v>
      </c>
      <c r="Q104" s="17" t="s">
        <v>75</v>
      </c>
      <c r="R104" s="17" t="s">
        <v>75</v>
      </c>
      <c r="S104" s="17" t="s">
        <v>75</v>
      </c>
      <c r="T104" s="17" t="s">
        <v>75</v>
      </c>
      <c r="U104" s="17" t="s">
        <v>75</v>
      </c>
    </row>
    <row r="105" spans="1:21" x14ac:dyDescent="0.25">
      <c r="A105" s="7" t="s">
        <v>380</v>
      </c>
      <c r="B105" s="7" t="s">
        <v>381</v>
      </c>
      <c r="C105" s="7" t="s">
        <v>322</v>
      </c>
      <c r="D105" s="7">
        <v>1205</v>
      </c>
      <c r="E105" s="7">
        <v>0.95</v>
      </c>
      <c r="F105" s="7" t="s">
        <v>381</v>
      </c>
      <c r="G105" s="15" t="s">
        <v>384</v>
      </c>
      <c r="H105" s="7" t="s">
        <v>78</v>
      </c>
      <c r="I105" s="7" t="s">
        <v>79</v>
      </c>
      <c r="J105" s="7" t="s">
        <v>87</v>
      </c>
      <c r="K105" s="7" t="s">
        <v>88</v>
      </c>
      <c r="L105" s="7" t="s">
        <v>89</v>
      </c>
      <c r="M105" s="18" t="s">
        <v>90</v>
      </c>
      <c r="N105" s="7" t="s">
        <v>91</v>
      </c>
      <c r="O105" s="16" t="s">
        <v>85</v>
      </c>
      <c r="P105" s="17" t="s">
        <v>75</v>
      </c>
      <c r="Q105" s="17" t="s">
        <v>75</v>
      </c>
      <c r="R105" s="17" t="s">
        <v>75</v>
      </c>
      <c r="S105" s="17" t="s">
        <v>75</v>
      </c>
      <c r="T105" s="17" t="s">
        <v>75</v>
      </c>
      <c r="U105" s="17" t="s">
        <v>75</v>
      </c>
    </row>
    <row r="106" spans="1:21" x14ac:dyDescent="0.25">
      <c r="A106" s="7" t="s">
        <v>380</v>
      </c>
      <c r="B106" s="7" t="s">
        <v>381</v>
      </c>
      <c r="C106" s="7" t="s">
        <v>322</v>
      </c>
      <c r="D106" s="7">
        <v>1344</v>
      </c>
      <c r="E106" s="7">
        <v>1.05</v>
      </c>
      <c r="F106" s="7" t="s">
        <v>382</v>
      </c>
      <c r="G106" s="15" t="s">
        <v>385</v>
      </c>
      <c r="H106" s="7" t="s">
        <v>78</v>
      </c>
      <c r="I106" s="7" t="s">
        <v>79</v>
      </c>
      <c r="J106" s="7" t="s">
        <v>80</v>
      </c>
      <c r="K106" s="7" t="s">
        <v>81</v>
      </c>
      <c r="L106" s="7" t="s">
        <v>82</v>
      </c>
      <c r="M106" s="7" t="s">
        <v>83</v>
      </c>
      <c r="N106" s="16" t="s">
        <v>84</v>
      </c>
      <c r="O106" s="16" t="s">
        <v>85</v>
      </c>
      <c r="P106" s="17" t="s">
        <v>75</v>
      </c>
      <c r="Q106" s="17" t="s">
        <v>75</v>
      </c>
      <c r="R106" s="17" t="s">
        <v>75</v>
      </c>
      <c r="S106" s="17" t="s">
        <v>75</v>
      </c>
      <c r="T106" s="17" t="s">
        <v>75</v>
      </c>
      <c r="U106" s="17" t="s">
        <v>75</v>
      </c>
    </row>
    <row r="107" spans="1:21" x14ac:dyDescent="0.25">
      <c r="A107" s="7" t="s">
        <v>380</v>
      </c>
      <c r="B107" s="7" t="s">
        <v>381</v>
      </c>
      <c r="C107" s="7" t="s">
        <v>322</v>
      </c>
      <c r="D107" s="7">
        <v>1480</v>
      </c>
      <c r="E107" s="7">
        <v>1.16</v>
      </c>
      <c r="F107" s="7" t="s">
        <v>382</v>
      </c>
      <c r="G107" s="15" t="s">
        <v>385</v>
      </c>
      <c r="H107" s="7" t="s">
        <v>78</v>
      </c>
      <c r="I107" s="7" t="s">
        <v>79</v>
      </c>
      <c r="J107" s="7" t="s">
        <v>80</v>
      </c>
      <c r="K107" s="7" t="s">
        <v>105</v>
      </c>
      <c r="L107" s="7" t="s">
        <v>106</v>
      </c>
      <c r="M107" s="7" t="s">
        <v>107</v>
      </c>
      <c r="N107" s="16" t="s">
        <v>84</v>
      </c>
      <c r="O107" s="16" t="s">
        <v>85</v>
      </c>
      <c r="P107" s="17" t="s">
        <v>75</v>
      </c>
      <c r="Q107" s="17" t="s">
        <v>75</v>
      </c>
      <c r="R107" s="17" t="s">
        <v>75</v>
      </c>
      <c r="S107" s="17" t="s">
        <v>75</v>
      </c>
      <c r="T107" s="17" t="s">
        <v>75</v>
      </c>
      <c r="U107" s="17" t="s">
        <v>75</v>
      </c>
    </row>
  </sheetData>
  <autoFilter ref="A1:U107"/>
  <dataValidations count="2">
    <dataValidation type="list" allowBlank="1" sqref="R10:R107">
      <formula1>"Same part, price just varies,Smaller piece of the part,Same name, different car,Different position (front/rear etc.),Different quality (genuine/copy/used),Priced as a pair or set,Reading mistake on our record,Can't tell"</formula1>
    </dataValidation>
    <dataValidation type="list" allowBlank="1" sqref="R2:R107">
      <formula1>"Same part, price just varies,Smaller piece of the part,Same name, different car,Different position (front/rear etc.),Different quality (genuine/copy/used),Priced as a pair or set,Reading mistake on our record,Can't tell"</formula1>
    </dataValidation>
  </dataValidations>
  <hyperlinks>
    <hyperlink ref="N2" r:id="rId1" tooltip="2026-01-05-Allianz Insurance Singapore Pte. Ltd.-MERCEDES-BENZ-132.PDF"/>
    <hyperlink ref="O2" r:id="rId2" tooltip="MBA000 991 36 04 Mercedes-Benz"/>
    <hyperlink ref="O3" r:id="rId3" tooltip="MBA213 885 16 00 Mercedes-Benz"/>
    <hyperlink ref="N4" r:id="rId4" tooltip="2025-08-17-Allianz Insurance Singapore Pte. Ltd.-MERCEDES-BENZ-6.JPG"/>
    <hyperlink ref="O4" r:id="rId5" tooltip="MBA156 880 41 00 Mercedes-Benz"/>
    <hyperlink ref="N5" r:id="rId6" tooltip="2025-10-15-AIG Asia Pacific Insurance Pte. Ltd.-MERCEDES-BENZ-49.PDF"/>
    <hyperlink ref="O5" r:id="rId7" tooltip="MBA205 885 31 23 Mercedes-Benz"/>
    <hyperlink ref="N6" r:id="rId8" tooltip="2026-01-05-Allianz Insurance Singapore Pte. Ltd.-MERCEDES-BENZ-132.PDF"/>
    <hyperlink ref="O6" r:id="rId9" tooltip="MBA003 990 94 97/CUPPED BLIND RI Mercedes-Benz"/>
    <hyperlink ref="N7" r:id="rId10" tooltip="2025-10-17-AIG Asia Pacific Insurance Pte. Ltd.-MERCEDES-BENZ-55.PDF"/>
    <hyperlink ref="O7" r:id="rId11" tooltip="MBA253 885 05 22 Mercedes-Benz"/>
    <hyperlink ref="N8" r:id="rId12" tooltip="2025-08-17-Allianz Insurance Singapore Pte. Ltd.-MERCEDES-BENZ-6.JPG"/>
    <hyperlink ref="O8" r:id="rId13" tooltip="MBA156 880 46 00 Mercedes-Benz"/>
    <hyperlink ref="N9" r:id="rId14" tooltip="2025-10-08-AIG Asia Pacific Insurance Pte. Ltd.-TOYOTA-45.PDF"/>
    <hyperlink ref="O9" r:id="rId15" tooltip="T81130-37203R Toyota"/>
    <hyperlink ref="N10" r:id="rId16" tooltip="2025-10-08-AIG Asia Pacific Insurance Pte. Ltd.-TOYOTA-45.PDF"/>
    <hyperlink ref="O10" r:id="rId17" tooltip="T81170-37203R Toyota"/>
    <hyperlink ref="N11" r:id="rId18" tooltip="2025-11-24-Tokio Marine Insurance Singapore Ltd-TOYOTA-81.PDF"/>
    <hyperlink ref="O11" r:id="rId19" tooltip="ZZT81130-0L010 Toyota"/>
    <hyperlink ref="N12" r:id="rId20" tooltip="2025-09-17-AIG Asia Pacific Insurance Pte. Ltd.-TOYOTA-21.PDF"/>
    <hyperlink ref="O12" r:id="rId21" tooltip="ZZT81170-02F31 Toyota"/>
    <hyperlink ref="N13" r:id="rId22" tooltip="2025-09-17-AIG Asia Pacific Insurance Pte. Ltd.-TOYOTA-21.PDF"/>
    <hyperlink ref="O13" r:id="rId23" tooltip="T81130-37660 Toyota"/>
    <hyperlink ref="N14" r:id="rId24" tooltip="2025-10-27-AIG Asia Pacific Insurance Pte. Ltd.-TOYOTA-60.PDF"/>
    <hyperlink ref="O14" r:id="rId25" tooltip="ZZT81185-06d50 Toyota"/>
    <hyperlink ref="N15" r:id="rId26" tooltip="2026-02-23-Allianz Insurance Singapore Pte. Ltd.-TOYOTA-179.PDF"/>
    <hyperlink ref="O15" r:id="rId27" tooltip="T81130-37660 Toyota"/>
    <hyperlink ref="N16" r:id="rId28" tooltip="2026-01-15-Allianz Insurance Singapore Pte. Ltd.-TOYOTA-140.PDF"/>
    <hyperlink ref="O16" r:id="rId29" tooltip="T81130-12J70 Toyota"/>
    <hyperlink ref="N17" r:id="rId30" tooltip="2026-01-15-Allianz Insurance Singapore Pte. Ltd.-TOYOTA-140.PDF"/>
    <hyperlink ref="O17" r:id="rId31" tooltip="T81170-12J70 Toyota"/>
    <hyperlink ref="N18" r:id="rId32" tooltip="2026-01-14-HL Assurance Pte Ltd-TOYOTA-139.PDF"/>
    <hyperlink ref="O18" r:id="rId33" tooltip="T81150-B1431 Toyota"/>
    <hyperlink ref="N19" r:id="rId34" tooltip="2025-10-21-HL Assurance Pte Ltd-TOYOTA-58.PDF"/>
    <hyperlink ref="O19" r:id="rId35" tooltip="T81170-52K30 Toyota"/>
    <hyperlink ref="N20" r:id="rId36" tooltip="2026-01-21-HL Assurance Pte Ltd-TOYOTA-146.PDF"/>
    <hyperlink ref="O20" r:id="rId37" tooltip="T81130-28G40 Toyota"/>
    <hyperlink ref="N21" r:id="rId38" tooltip="2025-11-22-AIG Asia Pacific Insurance Pte. Ltd.-LEXUS-80.PDF"/>
    <hyperlink ref="O21" r:id="rId39" tooltip="T81145-78170 Toyota"/>
    <hyperlink ref="N22" r:id="rId40" tooltip="2025-12-03-Allianz Insurance Singapore Pte. Ltd.-TOYOTA-101.PDF"/>
    <hyperlink ref="O22" r:id="rId41" tooltip="TY81185-48F60 Toyota"/>
    <hyperlink ref="N23" r:id="rId42" tooltip="2026-02-09-Allianz Insurance Singapore Pte. Ltd.-TESLA-155.PDF"/>
    <hyperlink ref="O23" r:id="rId43" tooltip="1771986-SC-C Tesla"/>
    <hyperlink ref="N24" r:id="rId44" tooltip="2026-02-09-Allianz Insurance Singapore Pte. Ltd.-TESLA-169.PDF"/>
    <hyperlink ref="O24" r:id="rId45" tooltip="1771936-SC-C Tesla"/>
    <hyperlink ref="N25" r:id="rId46" tooltip="2026-02-09-Allianz Insurance Singapore Pte. Ltd.-TESLA-173.JPG"/>
    <hyperlink ref="O25" r:id="rId47" tooltip="1771936-SC-C Tesla"/>
    <hyperlink ref="N26" r:id="rId48" tooltip="2026-02-09-Allianz Insurance Singapore Pte. Ltd.-TESLA-155.PDF"/>
    <hyperlink ref="O26" r:id="rId49" tooltip="1714884-EC-D Tesla"/>
    <hyperlink ref="N27" r:id="rId50" tooltip="2026-02-09-Allianz Insurance Singapore Pte. Ltd.-TESLA-169.PDF"/>
    <hyperlink ref="O27" r:id="rId51" tooltip="1714884-EC-D Tesla"/>
    <hyperlink ref="N28" r:id="rId52" tooltip="2026-02-09-Allianz Insurance Singapore Pte. Ltd.-TESLA-173.JPG"/>
    <hyperlink ref="O28" r:id="rId53" tooltip="1714884-EC-D Tesla"/>
    <hyperlink ref="N29" r:id="rId54" tooltip="2026-02-09-Allianz Insurance Singapore Pte. Ltd.-TESLA-173.JPG"/>
    <hyperlink ref="O29" r:id="rId55" tooltip="1714884-EC-D Tesla"/>
    <hyperlink ref="O30" r:id="rId56" tooltip="MBA213 885 06 21 Mercedes-Benz"/>
    <hyperlink ref="N31" r:id="rId57" tooltip="2025-10-17-AIG Asia Pacific Insurance Pte. Ltd.-MERCEDES-BENZ-55.PDF"/>
    <hyperlink ref="O31" r:id="rId58" tooltip="MBA253 885 67 01 Mercedes-Benz"/>
    <hyperlink ref="N32" r:id="rId59" tooltip="2026-01-07-Tokio Marine Insurance Singapore Ltd-MERCEDES-BENZ-135.PDF"/>
    <hyperlink ref="O32" r:id="rId60" tooltip="A4478800612 Mercedes-Benz"/>
    <hyperlink ref="N33" r:id="rId61" tooltip="2026-01-07-Tokio Marine Insurance Singapore Ltd-MERCEDES-BENZ-135.PDF"/>
    <hyperlink ref="O33" r:id="rId62" tooltip="A4478800712 Mercedes-Benz"/>
    <hyperlink ref="O34" r:id="rId63" tooltip="3D0941165A Audi"/>
    <hyperlink ref="O35" r:id="rId64" tooltip="8T0941700B Audi"/>
    <hyperlink ref="O36" r:id="rId65" tooltip="8T0941699B Audi"/>
    <hyperlink ref="O37" r:id="rId66" tooltip="8R0807681M BJI Audi"/>
    <hyperlink ref="O38" r:id="rId67" tooltip="8R0807682J BJI Audi"/>
    <hyperlink ref="N39" r:id="rId68" tooltip="2025-11-24-Tokio Marine Insurance Singapore Ltd-TOYOTA-81.PDF"/>
    <hyperlink ref="O39" r:id="rId69" tooltip="ZZT53801-26011 Toyota"/>
    <hyperlink ref="N40" r:id="rId70" tooltip="2025-11-29-Allianz Insurance Singapore Pte. Ltd.-TOYOTA-84.PDF"/>
    <hyperlink ref="O40" r:id="rId71" tooltip="53802-26031 Toyota"/>
    <hyperlink ref="N41" r:id="rId72" tooltip="2026-02-03-AIG Asia Pacific Insurance Pte. Ltd.-TOYOTA-152.PDF"/>
    <hyperlink ref="O41" r:id="rId73" tooltip="T53802-26021 Toyota"/>
    <hyperlink ref="N42" r:id="rId74" tooltip="2025-12-05-Tokio Marine Insurance Singapore Ltd-TOYOTA-106.PDF"/>
    <hyperlink ref="O42" r:id="rId75" tooltip="T53802-26021 Toyota"/>
    <hyperlink ref="N43" r:id="rId76" tooltip="2025-10-21-HL Assurance Pte Ltd-TOYOTA-58.PDF"/>
    <hyperlink ref="O43" r:id="rId77" tooltip="T53812-0D220 Toyota"/>
    <hyperlink ref="N44" r:id="rId78" tooltip="2026-01-14-HL Assurance Pte Ltd-TOYOTA-139.PDF"/>
    <hyperlink ref="O44" r:id="rId79" tooltip="T53812-B1320 Toyota"/>
    <hyperlink ref="N45" r:id="rId80" tooltip="2026-02-25-ECICS Limited-TOYOTA-181.PDF"/>
    <hyperlink ref="O45" r:id="rId81" tooltip="T53811-48210 Toyota"/>
    <hyperlink ref="N46" r:id="rId82" tooltip="2025-11-22-AIG Asia Pacific Insurance Pte. Ltd.-LEXUS-80.PDF"/>
    <hyperlink ref="O46" r:id="rId83" tooltip="T53811-78010 Toyota"/>
    <hyperlink ref="N47" r:id="rId84" tooltip="2026-01-21-HL Assurance Pte Ltd-TOYOTA-146.PDF"/>
    <hyperlink ref="O47" r:id="rId85" tooltip="T53811-28180 Toyota"/>
    <hyperlink ref="N48" r:id="rId86" tooltip="2025-11-29-Allianz Insurance Singapore Pte. Ltd.-TOYOTA-91.PDF"/>
    <hyperlink ref="O48" r:id="rId87" tooltip="T53113-26060 Toyota"/>
    <hyperlink ref="N49" r:id="rId88" tooltip="2025-09-26-EQ Insurance Company Ltd-TOYOTA-26.PDF"/>
    <hyperlink ref="O49" r:id="rId89" tooltip="T53113-26060 Toyota"/>
    <hyperlink ref="N50" r:id="rId90" tooltip="2025-09-26-EQ Insurance Company Ltd-TOYOTA-29.PDF"/>
    <hyperlink ref="O50" r:id="rId91" tooltip="T53112-26070 Toyota"/>
    <hyperlink ref="N51" r:id="rId92" tooltip="2025-11-29-Allianz Insurance Singapore Pte. Ltd.-TOYOTA-90.PDF"/>
    <hyperlink ref="O51" r:id="rId93" tooltip="T53112-26070 Toyota"/>
    <hyperlink ref="N52" r:id="rId94" tooltip="2025-12-05-Tokio Marine Insurance Singapore Ltd-TOYOTA-106.PDF"/>
    <hyperlink ref="O52" r:id="rId95" tooltip="T53112-26070 Toyota"/>
    <hyperlink ref="N53" r:id="rId96" tooltip="2026-02-03-AIG Asia Pacific Insurance Pte. Ltd.-TOYOTA-152.PDF"/>
    <hyperlink ref="O53" r:id="rId97" tooltip="T53112-26070 Toyota"/>
    <hyperlink ref="N54" r:id="rId98" tooltip="2026-02-25-ECICS Limited-TOYOTA-181.PDF"/>
    <hyperlink ref="O54" r:id="rId99" tooltip="T53112-48150 Toyota"/>
    <hyperlink ref="N55" r:id="rId100" tooltip="2025-11-19-Tokio Marine Insurance Singapore Ltd-TOYOTA-74.PDF"/>
    <hyperlink ref="O55" r:id="rId101" tooltip="T53112-0D540 Toyota"/>
    <hyperlink ref="N56" r:id="rId102" tooltip="2026-02-02-AIG Asia Pacific Insurance Pte. Ltd.-TOYOTA-151.PDF"/>
    <hyperlink ref="O56" r:id="rId103" tooltip="T53216-06170 Toyota"/>
    <hyperlink ref="N57" r:id="rId104" tooltip="2025-11-29-Allianz Insurance Singapore Pte. Ltd.-TOYOTA-83.PDF"/>
    <hyperlink ref="O57" r:id="rId105" tooltip="T53201-26082 KDH201 Toyota"/>
    <hyperlink ref="N58" r:id="rId106" tooltip="2025-11-18-AIG Asia Pacific Insurance Pte. Ltd.-TOYOTA-72.PDF"/>
    <hyperlink ref="O58" r:id="rId107" tooltip="T53201-26082 Toyota"/>
    <hyperlink ref="N59" r:id="rId108" tooltip="2026-02-03-AIG Asia Pacific Insurance Pte. Ltd.-TOYOTA-152.PDF"/>
    <hyperlink ref="O59" r:id="rId109" tooltip="T53201-26082 Toyota"/>
    <hyperlink ref="N60" r:id="rId110" tooltip="2025-12-05-Tokio Marine Insurance Singapore Ltd-TOYOTA-106.PDF"/>
    <hyperlink ref="O60" r:id="rId111" tooltip="T53201-26082 Toyota"/>
    <hyperlink ref="N61" r:id="rId112" tooltip="2026-01-21-HL Assurance Pte Ltd-TOYOTA-146.PDF"/>
    <hyperlink ref="O61" r:id="rId113" tooltip="T53205-28200 Toyota"/>
    <hyperlink ref="N62" r:id="rId114" tooltip="2025-08-17-Allianz Insurance Singapore Pte. Ltd.-MERCEDES-BENZ-6.JPG"/>
    <hyperlink ref="O62" r:id="rId115" tooltip="MBA156 888 06 00 9040 Mercedes-Benz"/>
    <hyperlink ref="N63" r:id="rId116" tooltip="2025-08-17-Allianz Insurance Singapore Pte. Ltd.-MERCEDES-BENZ-6.JPG"/>
    <hyperlink ref="O63" r:id="rId117" tooltip="MBA156 888 24 00 9040 Mercedes-Benz"/>
    <hyperlink ref="N64" r:id="rId118" tooltip="2025-08-17-Allianz Insurance Singapore Pte. Ltd.-MERCEDES-BENZ-6.JPG"/>
    <hyperlink ref="O64" r:id="rId119" tooltip="MBA156 880 64 00 Mercedes-Benz"/>
    <hyperlink ref="N65" r:id="rId120" tooltip="2026-01-05-Allianz Insurance Singapore Pte. Ltd.-MERCEDES-BENZ-132.PDF"/>
    <hyperlink ref="O65" r:id="rId121" tooltip="MBA253 620 18 01 Mercedes-Benz"/>
    <hyperlink ref="N66" r:id="rId122" tooltip="2025-08-17-Allianz Insurance Singapore Pte. Ltd.-MERCEDES-BENZ-6.JPG"/>
    <hyperlink ref="O66" r:id="rId123" tooltip="MBA246 620 02 34 64 Mercedes-Benz"/>
    <hyperlink ref="O67" r:id="rId124" tooltip="T81130-06590 Toyota"/>
    <hyperlink ref="N68" r:id="rId125" tooltip="2025-11-29-Allianz Insurance Singapore Pte. Ltd.-TOYOTA-83.PDF"/>
    <hyperlink ref="O68" r:id="rId126" tooltip="81130-0L011 KDH200 Toyota"/>
    <hyperlink ref="N69" r:id="rId127" tooltip="2025-11-29-Allianz Insurance Singapore Pte. Ltd.-TOYOTA-83.PDF"/>
    <hyperlink ref="O69" r:id="rId128" tooltip="81170-0L011 KDH200 Toyota"/>
    <hyperlink ref="N70" r:id="rId129" tooltip="2025-11-19-Tokio Marine Insurance Singapore Ltd-TOYOTA-74.PDF"/>
    <hyperlink ref="O70" r:id="rId130" tooltip="81130-0DF01/P90 Toyota"/>
    <hyperlink ref="N71" r:id="rId131" tooltip="2025-11-19-Tokio Marine Insurance Singapore Ltd-TOYOTA-74.PDF"/>
    <hyperlink ref="O71" r:id="rId132" tooltip="81170-0DF01/P90 Toyota"/>
    <hyperlink ref="N72" r:id="rId133" tooltip="2025-12-05-Tokio Marine Insurance Singapore Ltd-TOYOTA-106.PDF"/>
    <hyperlink ref="O72" r:id="rId134" tooltip="81130-0L011 Toyota"/>
    <hyperlink ref="N73" r:id="rId135" tooltip="2025-12-05-Tokio Marine Insurance Singapore Ltd-TOYOTA-106.PDF"/>
    <hyperlink ref="O73" r:id="rId136" tooltip="81170-0L011 Toyota"/>
    <hyperlink ref="N74" r:id="rId137" tooltip="2026-02-25-ECICS Limited-TOYOTA-181.PDF"/>
    <hyperlink ref="O74" r:id="rId138" tooltip="T81070-48890 Toyota"/>
    <hyperlink ref="N75" r:id="rId139" tooltip="2026-02-25-ECICS Limited-TOYOTA-181.PDF"/>
    <hyperlink ref="O75" r:id="rId140" tooltip="T81140-48440 Toyota"/>
    <hyperlink ref="N76" r:id="rId141" tooltip="2025-09-17-AIG Asia Pacific Insurance Pte. Ltd.-TOYOTA-21.PDF"/>
    <hyperlink ref="O76" r:id="rId142" tooltip="ZZT53112-02630 Toyota"/>
    <hyperlink ref="N77" r:id="rId143" tooltip="2025-11-24-Tokio Marine Insurance Singapore Ltd-TOYOTA-81.PDF"/>
    <hyperlink ref="O77" r:id="rId144" tooltip="ZZT53112-26070 Toyota"/>
    <hyperlink ref="N78" r:id="rId145" tooltip="2026-02-12-AIG Asia Pacific Insurance Pte. Ltd.-TOYOTA-178.PDF"/>
    <hyperlink ref="O78" r:id="rId146" tooltip="ZZT53112-26070 Toyota"/>
    <hyperlink ref="N79" r:id="rId147" tooltip="2025-10-27-AIG Asia Pacific Insurance Pte. Ltd.-TOYOTA-60.PDF"/>
    <hyperlink ref="O79" r:id="rId148" tooltip="ZZT53102-06120 Toyota"/>
    <hyperlink ref="N80" r:id="rId149" tooltip="2026-02-09-Allianz Insurance Singapore Pte. Ltd.-TESLA-155.PDF"/>
    <hyperlink ref="O80" r:id="rId150" tooltip="1774268-00-G Tesla"/>
    <hyperlink ref="N81" r:id="rId151" tooltip="2026-02-09-Allianz Insurance Singapore Pte. Ltd.-TESLA-158.JPG"/>
    <hyperlink ref="O81" r:id="rId152" tooltip="1774268-00-G Tesla"/>
    <hyperlink ref="N82" r:id="rId153" tooltip="2026-02-09-Allianz Insurance Singapore Pte. Ltd.-TESLA-173.JPG"/>
    <hyperlink ref="O82" r:id="rId154" tooltip="1774268-00-G Tesla"/>
    <hyperlink ref="N83" r:id="rId155" tooltip="2025-12-02-Allianz Insurance Singapore Pte. Ltd.-TESLA-94.PDF"/>
    <hyperlink ref="O83" r:id="rId156" tooltip="1734299-00-H Tesla"/>
    <hyperlink ref="N84" r:id="rId157" tooltip="2025-12-02-Allianz Insurance Singapore Pte. Ltd.-TESLA-95.PDF"/>
    <hyperlink ref="O84" r:id="rId158" tooltip="1734300-00-H Tesla"/>
    <hyperlink ref="N85" r:id="rId159" tooltip="2026-02-09-Allianz Insurance Singapore Pte. Ltd.-TESLA-156.PDF"/>
    <hyperlink ref="O85" r:id="rId160" tooltip="1734299-00-H Tesla"/>
    <hyperlink ref="N86" r:id="rId161" tooltip="2026-02-09-Allianz Insurance Singapore Pte. Ltd.-TESLA-158.JPG"/>
    <hyperlink ref="O86" r:id="rId162" tooltip="1734299-00-H Tesla"/>
    <hyperlink ref="N87" r:id="rId163" tooltip="2026-02-09-Allianz Insurance Singapore Pte. Ltd.-TESLA-173.JPG"/>
    <hyperlink ref="O87" r:id="rId164" tooltip="1734299-00-H Tesla"/>
    <hyperlink ref="N88" r:id="rId165" tooltip="2026-02-12-AIG Asia Pacific Insurance Pte. Ltd.-TOYOTA-178.PDF"/>
    <hyperlink ref="O88" r:id="rId166" tooltip="ZZT53301-26080 Toyota"/>
    <hyperlink ref="N89" r:id="rId167" tooltip="2025-11-29-Allianz Insurance Singapore Pte. Ltd.-TOYOTA-83.PDF"/>
    <hyperlink ref="O89" r:id="rId168" tooltip="53301-26080 KDH200/1 Toyota"/>
    <hyperlink ref="N90" r:id="rId169" tooltip="2025-09-26-EQ Insurance Company Ltd-TOYOTA-27.PDF"/>
    <hyperlink ref="O90" r:id="rId170" tooltip="53301-26080 Toyota"/>
    <hyperlink ref="N91" r:id="rId171" tooltip="2025-12-05-Tokio Marine Insurance Singapore Ltd-TOYOTA-106.PDF"/>
    <hyperlink ref="O91" r:id="rId172" tooltip="53301-26080 Toyota"/>
    <hyperlink ref="N92" r:id="rId173" tooltip="2026-01-21-HL Assurance Pte Ltd-TOYOTA-146.PDF"/>
    <hyperlink ref="O92" r:id="rId174" tooltip="T53301-28160 Toyota"/>
    <hyperlink ref="N93" r:id="rId175" tooltip="2026-02-02-AIG Asia Pacific Insurance Pte. Ltd.-TOYOTA-151.PDF"/>
    <hyperlink ref="O93" r:id="rId176" tooltip="T53301-06200 Toyota"/>
    <hyperlink ref="N94" r:id="rId177" tooltip="2026-01-15-Allianz Insurance Singapore Pte. Ltd.-TOYOTA-140.PDF"/>
    <hyperlink ref="O94" r:id="rId178" tooltip="T53301-12B30 Toyota"/>
    <hyperlink ref="N95" r:id="rId179" tooltip="2025-11-19-Tokio Marine Insurance Singapore Ltd-TOYOTA-75.PDF"/>
    <hyperlink ref="O95" r:id="rId180" tooltip="53301-0D280 Toyota"/>
    <hyperlink ref="N96" r:id="rId181" tooltip="2026-01-05-Allianz Insurance Singapore Pte. Ltd.-MERCEDES-BENZ-131.PDF"/>
    <hyperlink ref="O96" r:id="rId182" tooltip="MBA000 817 21 16 Mercedes-Benz"/>
    <hyperlink ref="N97" r:id="rId183" tooltip="2025-08-17-Allianz Insurance Singapore Pte. Ltd.-MERCEDES-BENZ-6.JPG"/>
    <hyperlink ref="O97" r:id="rId184" tooltip="MBA000 817 10 16 Mercedes-Benz"/>
    <hyperlink ref="N98" r:id="rId185" tooltip="2025-10-21-AIG Asia Pacific Insurance Pte. Ltd.-MERCEDES-BENZ-57.PDF"/>
    <hyperlink ref="O98" r:id="rId186" tooltip="X0008171016 Mercedes-Benz"/>
    <hyperlink ref="N99" r:id="rId187" tooltip="2026-01-07-Tokio Marine Insurance Singapore Ltd-MERCEDES-BENZ-135.PDF"/>
    <hyperlink ref="O99" r:id="rId188" tooltip="X2078170016 Mercedes-Benz"/>
    <hyperlink ref="N100" r:id="rId189" tooltip="2025-11-29-Allianz Insurance Singapore Pte. Ltd.-TOYOTA-88.PDF"/>
    <hyperlink ref="O100" r:id="rId190" tooltip="16400-11A40 Toyota"/>
    <hyperlink ref="N101" r:id="rId191" tooltip="2026-01-15-Allianz Insurance Singapore Pte. Ltd.-TOYOTA-140.PDF"/>
    <hyperlink ref="O101" r:id="rId192" tooltip="T16400-47090 Toyota"/>
    <hyperlink ref="N102" r:id="rId193" tooltip="2025-05-20-Allianz Insurance Singapore Pte. Ltd.-TOYOTA-1.PDF"/>
    <hyperlink ref="O102" r:id="rId194" tooltip="T16400-30172-R Toyota"/>
    <hyperlink ref="N103" r:id="rId195" tooltip="2025-12-05-Tokio Marine Insurance Singapore Ltd-TOYOTA-106.PDF"/>
    <hyperlink ref="O103" r:id="rId196" tooltip="16400-30174 Toyota"/>
    <hyperlink ref="N104" r:id="rId197" tooltip="2025-08-17-Allianz Insurance Singapore Pte. Ltd.-MERCEDES-BENZ-6.JPG"/>
    <hyperlink ref="O104" r:id="rId198" tooltip="MBA156 880 00 57 64 Mercedes-Benz"/>
    <hyperlink ref="O105" r:id="rId199" tooltip="MBA213 880 03 57 Mercedes-Benz"/>
    <hyperlink ref="N106" r:id="rId200" tooltip="2026-01-05-Allianz Insurance Singapore Pte. Ltd.-MERCEDES-BENZ-132.PDF"/>
    <hyperlink ref="O106" r:id="rId201" tooltip="MBA253 880 01 57 64 Mercedes-Benz"/>
    <hyperlink ref="N107" r:id="rId202" tooltip="2025-10-17-AIG Asia Pacific Insurance Pte. Ltd.-MERCEDES-BENZ-55.PDF"/>
    <hyperlink ref="O107" r:id="rId203" tooltip="MBA253 880 01 57 64 Mercedes-Benz"/>
  </hyperlinks>
  <pageMargins left="0.4" right="0.4" top="0.5" bottom="0.5" header="0.2" footer="0.2"/>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Q17"/>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13" customWidth="1"/>
    <col min="4" max="4" width="30" customWidth="1"/>
    <col min="6" max="8" width="10" customWidth="1"/>
    <col min="9" max="10" width="12" customWidth="1"/>
    <col min="11" max="11" width="10" customWidth="1"/>
    <col min="12" max="12" width="34" customWidth="1"/>
    <col min="13" max="13" width="50" customWidth="1"/>
    <col min="14" max="14" width="10" customWidth="1"/>
    <col min="15" max="15" width="14" customWidth="1"/>
    <col min="16" max="16" width="26" customWidth="1"/>
    <col min="17" max="17" width="28" customWidth="1"/>
  </cols>
  <sheetData>
    <row r="1" ht="34" customHeight="1" spans="1:17" x14ac:dyDescent="0.25">
      <c r="A1" s="12" t="s">
        <v>45</v>
      </c>
      <c r="B1" s="12" t="s">
        <v>54</v>
      </c>
      <c r="C1" s="12" t="s">
        <v>59</v>
      </c>
      <c r="D1" s="12" t="s">
        <v>386</v>
      </c>
      <c r="E1" s="12" t="s">
        <v>387</v>
      </c>
      <c r="F1" s="12" t="s">
        <v>388</v>
      </c>
      <c r="G1" s="12" t="s">
        <v>389</v>
      </c>
      <c r="H1" s="12" t="s">
        <v>390</v>
      </c>
      <c r="I1" s="12" t="s">
        <v>391</v>
      </c>
      <c r="J1" s="12" t="s">
        <v>392</v>
      </c>
      <c r="K1" s="12" t="s">
        <v>393</v>
      </c>
      <c r="L1" s="12" t="s">
        <v>394</v>
      </c>
      <c r="M1" s="12" t="s">
        <v>395</v>
      </c>
      <c r="N1" s="12" t="s">
        <v>396</v>
      </c>
      <c r="O1" s="12" t="s">
        <v>397</v>
      </c>
      <c r="P1" s="13" t="s">
        <v>398</v>
      </c>
      <c r="Q1" s="13" t="s">
        <v>72</v>
      </c>
    </row>
    <row r="2" spans="1:17" x14ac:dyDescent="0.25">
      <c r="A2" s="7" t="s">
        <v>73</v>
      </c>
      <c r="B2" s="7" t="s">
        <v>74</v>
      </c>
      <c r="C2" s="7" t="s">
        <v>78</v>
      </c>
      <c r="D2" s="7" t="s">
        <v>399</v>
      </c>
      <c r="E2" s="7">
        <v>7</v>
      </c>
      <c r="F2" s="7">
        <v>5</v>
      </c>
      <c r="G2" s="7">
        <v>120</v>
      </c>
      <c r="H2" s="7">
        <v>620</v>
      </c>
      <c r="I2" s="14">
        <v>124</v>
      </c>
      <c r="J2" s="7">
        <v>7</v>
      </c>
      <c r="K2" s="7">
        <v>3</v>
      </c>
      <c r="L2" s="7" t="s">
        <v>400</v>
      </c>
      <c r="M2" s="7" t="s">
        <v>401</v>
      </c>
      <c r="N2" s="7">
        <f>COUNTIFS('2. Check each line'!$A$2:$A$107,A2,'2. Check each line'!$R$2:$R$107,"&lt;&gt;")&amp;" of "&amp;COUNTIF('2. Check each line'!$A$2:$A$107,A2)</f>
      </c>
      <c r="O2" s="7">
        <f>COUNTIFS('2. Check each line'!$A$2:$A$107,A2,'2. Check each line'!$R$2:$R$107,"Same part, price just varies")</f>
      </c>
      <c r="P2" s="17" t="s">
        <v>75</v>
      </c>
      <c r="Q2" s="17" t="s">
        <v>75</v>
      </c>
    </row>
    <row r="3" spans="1:17" x14ac:dyDescent="0.25">
      <c r="A3" s="7" t="s">
        <v>109</v>
      </c>
      <c r="B3" s="7" t="s">
        <v>110</v>
      </c>
      <c r="C3" s="7" t="s">
        <v>113</v>
      </c>
      <c r="D3" s="7" t="s">
        <v>402</v>
      </c>
      <c r="E3" s="7">
        <v>14</v>
      </c>
      <c r="F3" s="7">
        <v>185</v>
      </c>
      <c r="G3" s="7">
        <v>475</v>
      </c>
      <c r="H3" s="7">
        <v>3600</v>
      </c>
      <c r="I3" s="14">
        <v>19.5</v>
      </c>
      <c r="J3" s="7">
        <v>13</v>
      </c>
      <c r="K3" s="7">
        <v>4</v>
      </c>
      <c r="L3" s="7" t="s">
        <v>403</v>
      </c>
      <c r="M3" s="7" t="s">
        <v>404</v>
      </c>
      <c r="N3" s="7">
        <f>COUNTIFS('2. Check each line'!$A$2:$A$107,A3,'2. Check each line'!$R$2:$R$107,"&lt;&gt;")&amp;" of "&amp;COUNTIF('2. Check each line'!$A$2:$A$107,A3)</f>
      </c>
      <c r="O3" s="7">
        <f>COUNTIFS('2. Check each line'!$A$2:$A$107,A3,'2. Check each line'!$R$2:$R$107,"Same part, price just varies")</f>
      </c>
      <c r="P3" s="17" t="s">
        <v>75</v>
      </c>
      <c r="Q3" s="17" t="s">
        <v>75</v>
      </c>
    </row>
    <row r="4" spans="1:17" x14ac:dyDescent="0.25">
      <c r="A4" s="7" t="s">
        <v>170</v>
      </c>
      <c r="B4" s="7" t="s">
        <v>171</v>
      </c>
      <c r="C4" s="7" t="s">
        <v>173</v>
      </c>
      <c r="D4" s="7" t="s">
        <v>399</v>
      </c>
      <c r="E4" s="7">
        <v>7</v>
      </c>
      <c r="F4" s="7">
        <v>24.82</v>
      </c>
      <c r="G4" s="7">
        <v>436.29</v>
      </c>
      <c r="H4" s="7">
        <v>436.29</v>
      </c>
      <c r="I4" s="14">
        <v>17.6</v>
      </c>
      <c r="J4" s="7">
        <v>3</v>
      </c>
      <c r="K4" s="7">
        <v>2</v>
      </c>
      <c r="L4" s="7" t="s">
        <v>405</v>
      </c>
      <c r="M4" s="7" t="s">
        <v>406</v>
      </c>
      <c r="N4" s="7">
        <f>COUNTIFS('2. Check each line'!$A$2:$A$107,A4,'2. Check each line'!$R$2:$R$107,"&lt;&gt;")&amp;" of "&amp;COUNTIF('2. Check each line'!$A$2:$A$107,A4)</f>
      </c>
      <c r="O4" s="7">
        <f>COUNTIFS('2. Check each line'!$A$2:$A$107,A4,'2. Check each line'!$R$2:$R$107,"Same part, price just varies")</f>
      </c>
      <c r="P4" s="17" t="s">
        <v>75</v>
      </c>
      <c r="Q4" s="17" t="s">
        <v>75</v>
      </c>
    </row>
    <row r="5" spans="1:17" x14ac:dyDescent="0.25">
      <c r="A5" s="7" t="s">
        <v>187</v>
      </c>
      <c r="B5" s="7" t="s">
        <v>188</v>
      </c>
      <c r="C5" s="7" t="s">
        <v>78</v>
      </c>
      <c r="D5" s="7" t="s">
        <v>399</v>
      </c>
      <c r="E5" s="7">
        <v>4</v>
      </c>
      <c r="F5" s="7">
        <v>10</v>
      </c>
      <c r="G5" s="7">
        <v>42.5</v>
      </c>
      <c r="H5" s="7">
        <v>65</v>
      </c>
      <c r="I5" s="14">
        <v>6.5</v>
      </c>
      <c r="J5" s="7">
        <v>4</v>
      </c>
      <c r="K5" s="7">
        <v>3</v>
      </c>
      <c r="L5" s="7" t="s">
        <v>407</v>
      </c>
      <c r="M5" s="7" t="s">
        <v>408</v>
      </c>
      <c r="N5" s="7">
        <f>COUNTIFS('2. Check each line'!$A$2:$A$107,A5,'2. Check each line'!$R$2:$R$107,"&lt;&gt;")&amp;" of "&amp;COUNTIF('2. Check each line'!$A$2:$A$107,A5)</f>
      </c>
      <c r="O5" s="7">
        <f>COUNTIFS('2. Check each line'!$A$2:$A$107,A5,'2. Check each line'!$R$2:$R$107,"Same part, price just varies")</f>
      </c>
      <c r="P5" s="17" t="s">
        <v>75</v>
      </c>
      <c r="Q5" s="17" t="s">
        <v>75</v>
      </c>
    </row>
    <row r="6" spans="1:17" x14ac:dyDescent="0.25">
      <c r="A6" s="7" t="s">
        <v>202</v>
      </c>
      <c r="B6" s="7" t="s">
        <v>203</v>
      </c>
      <c r="C6" s="7" t="s">
        <v>206</v>
      </c>
      <c r="D6" s="7" t="s">
        <v>409</v>
      </c>
      <c r="E6" s="7">
        <v>5</v>
      </c>
      <c r="F6" s="7">
        <v>20</v>
      </c>
      <c r="G6" s="7">
        <v>95</v>
      </c>
      <c r="H6" s="7">
        <v>125</v>
      </c>
      <c r="I6" s="14">
        <v>6.3</v>
      </c>
      <c r="J6" s="7">
        <v>5</v>
      </c>
      <c r="K6" s="7">
        <v>1</v>
      </c>
      <c r="L6" s="7" t="s">
        <v>410</v>
      </c>
      <c r="M6" s="7" t="s">
        <v>411</v>
      </c>
      <c r="N6" s="7">
        <f>COUNTIFS('2. Check each line'!$A$2:$A$107,A6,'2. Check each line'!$R$2:$R$107,"&lt;&gt;")&amp;" of "&amp;COUNTIF('2. Check each line'!$A$2:$A$107,A6)</f>
      </c>
      <c r="O6" s="7">
        <f>COUNTIFS('2. Check each line'!$A$2:$A$107,A6,'2. Check each line'!$R$2:$R$107,"Same part, price just varies")</f>
      </c>
      <c r="P6" s="17" t="s">
        <v>75</v>
      </c>
      <c r="Q6" s="17" t="s">
        <v>75</v>
      </c>
    </row>
    <row r="7" spans="1:17" x14ac:dyDescent="0.25">
      <c r="A7" s="7" t="s">
        <v>224</v>
      </c>
      <c r="B7" s="7" t="s">
        <v>225</v>
      </c>
      <c r="C7" s="7" t="s">
        <v>113</v>
      </c>
      <c r="D7" s="7" t="s">
        <v>399</v>
      </c>
      <c r="E7" s="7">
        <v>9</v>
      </c>
      <c r="F7" s="7">
        <v>75</v>
      </c>
      <c r="G7" s="7">
        <v>210</v>
      </c>
      <c r="H7" s="7">
        <v>380</v>
      </c>
      <c r="I7" s="14">
        <v>5.1</v>
      </c>
      <c r="J7" s="7">
        <v>8</v>
      </c>
      <c r="K7" s="7">
        <v>3</v>
      </c>
      <c r="L7" s="7" t="s">
        <v>412</v>
      </c>
      <c r="M7" s="7" t="s">
        <v>413</v>
      </c>
      <c r="N7" s="7">
        <f>COUNTIFS('2. Check each line'!$A$2:$A$107,A7,'2. Check each line'!$R$2:$R$107,"&lt;&gt;")&amp;" of "&amp;COUNTIF('2. Check each line'!$A$2:$A$107,A7)</f>
      </c>
      <c r="O7" s="7">
        <f>COUNTIFS('2. Check each line'!$A$2:$A$107,A7,'2. Check each line'!$R$2:$R$107,"Same part, price just varies")</f>
      </c>
      <c r="P7" s="17" t="s">
        <v>75</v>
      </c>
      <c r="Q7" s="17" t="s">
        <v>75</v>
      </c>
    </row>
    <row r="8" spans="1:17" x14ac:dyDescent="0.25">
      <c r="A8" s="7" t="s">
        <v>252</v>
      </c>
      <c r="B8" s="7" t="s">
        <v>253</v>
      </c>
      <c r="C8" s="7" t="s">
        <v>113</v>
      </c>
      <c r="D8" s="7" t="s">
        <v>399</v>
      </c>
      <c r="E8" s="7">
        <v>8</v>
      </c>
      <c r="F8" s="7">
        <v>40</v>
      </c>
      <c r="G8" s="7">
        <v>82.5</v>
      </c>
      <c r="H8" s="7">
        <v>200</v>
      </c>
      <c r="I8" s="14">
        <v>5</v>
      </c>
      <c r="J8" s="7">
        <v>4</v>
      </c>
      <c r="K8" s="7">
        <v>1</v>
      </c>
      <c r="L8" s="7" t="s">
        <v>414</v>
      </c>
      <c r="M8" s="7" t="s">
        <v>415</v>
      </c>
      <c r="N8" s="7">
        <f>COUNTIFS('2. Check each line'!$A$2:$A$107,A8,'2. Check each line'!$R$2:$R$107,"&lt;&gt;")&amp;" of "&amp;COUNTIF('2. Check each line'!$A$2:$A$107,A8)</f>
      </c>
      <c r="O8" s="7">
        <f>COUNTIFS('2. Check each line'!$A$2:$A$107,A8,'2. Check each line'!$R$2:$R$107,"Same part, price just varies")</f>
      </c>
      <c r="P8" s="17" t="s">
        <v>75</v>
      </c>
      <c r="Q8" s="17" t="s">
        <v>75</v>
      </c>
    </row>
    <row r="9" spans="1:17" x14ac:dyDescent="0.25">
      <c r="A9" s="7" t="s">
        <v>272</v>
      </c>
      <c r="B9" s="7" t="s">
        <v>273</v>
      </c>
      <c r="C9" s="7" t="s">
        <v>113</v>
      </c>
      <c r="D9" s="7" t="s">
        <v>416</v>
      </c>
      <c r="E9" s="7">
        <v>6</v>
      </c>
      <c r="F9" s="7">
        <v>135</v>
      </c>
      <c r="G9" s="7">
        <v>185</v>
      </c>
      <c r="H9" s="7">
        <v>600</v>
      </c>
      <c r="I9" s="7">
        <v>4.4</v>
      </c>
      <c r="J9" s="7">
        <v>4</v>
      </c>
      <c r="K9" s="7">
        <v>2</v>
      </c>
      <c r="L9" s="7" t="s">
        <v>417</v>
      </c>
      <c r="M9" s="7" t="s">
        <v>418</v>
      </c>
      <c r="N9" s="7">
        <f>COUNTIFS('2. Check each line'!$A$2:$A$107,A9,'2. Check each line'!$R$2:$R$107,"&lt;&gt;")&amp;" of "&amp;COUNTIF('2. Check each line'!$A$2:$A$107,A9)</f>
      </c>
      <c r="O9" s="7">
        <f>COUNTIFS('2. Check each line'!$A$2:$A$107,A9,'2. Check each line'!$R$2:$R$107,"Same part, price just varies")</f>
      </c>
      <c r="P9" s="17" t="s">
        <v>75</v>
      </c>
      <c r="Q9" s="17" t="s">
        <v>75</v>
      </c>
    </row>
    <row r="10" spans="1:17" x14ac:dyDescent="0.25">
      <c r="A10" s="7" t="s">
        <v>288</v>
      </c>
      <c r="B10" s="7" t="s">
        <v>289</v>
      </c>
      <c r="C10" s="7" t="s">
        <v>78</v>
      </c>
      <c r="D10" s="7" t="s">
        <v>416</v>
      </c>
      <c r="E10" s="7">
        <v>5</v>
      </c>
      <c r="F10" s="7">
        <v>195</v>
      </c>
      <c r="G10" s="7">
        <v>280</v>
      </c>
      <c r="H10" s="7">
        <v>820</v>
      </c>
      <c r="I10" s="7">
        <v>4.2</v>
      </c>
      <c r="J10" s="7">
        <v>5</v>
      </c>
      <c r="K10" s="7">
        <v>1</v>
      </c>
      <c r="L10" s="7" t="s">
        <v>419</v>
      </c>
      <c r="M10" s="7" t="s">
        <v>420</v>
      </c>
      <c r="N10" s="7">
        <f>COUNTIFS('2. Check each line'!$A$2:$A$107,A10,'2. Check each line'!$R$2:$R$107,"&lt;&gt;")&amp;" of "&amp;COUNTIF('2. Check each line'!$A$2:$A$107,A10)</f>
      </c>
      <c r="O10" s="7">
        <f>COUNTIFS('2. Check each line'!$A$2:$A$107,A10,'2. Check each line'!$R$2:$R$107,"Same part, price just varies")</f>
      </c>
      <c r="P10" s="17" t="s">
        <v>75</v>
      </c>
      <c r="Q10" s="17" t="s">
        <v>75</v>
      </c>
    </row>
    <row r="11" spans="1:17" x14ac:dyDescent="0.25">
      <c r="A11" s="7" t="s">
        <v>296</v>
      </c>
      <c r="B11" s="7" t="s">
        <v>297</v>
      </c>
      <c r="C11" s="7" t="s">
        <v>113</v>
      </c>
      <c r="D11" s="7" t="s">
        <v>421</v>
      </c>
      <c r="E11" s="7">
        <v>9</v>
      </c>
      <c r="F11" s="7">
        <v>310</v>
      </c>
      <c r="G11" s="7">
        <v>350</v>
      </c>
      <c r="H11" s="7">
        <v>1100</v>
      </c>
      <c r="I11" s="7">
        <v>3.5</v>
      </c>
      <c r="J11" s="7">
        <v>9</v>
      </c>
      <c r="K11" s="7">
        <v>2</v>
      </c>
      <c r="L11" s="7" t="s">
        <v>422</v>
      </c>
      <c r="M11" s="7" t="s">
        <v>423</v>
      </c>
      <c r="N11" s="7">
        <f>COUNTIFS('2. Check each line'!$A$2:$A$107,A11,'2. Check each line'!$R$2:$R$107,"&lt;&gt;")&amp;" of "&amp;COUNTIF('2. Check each line'!$A$2:$A$107,A11)</f>
      </c>
      <c r="O11" s="7">
        <f>COUNTIFS('2. Check each line'!$A$2:$A$107,A11,'2. Check each line'!$R$2:$R$107,"Same part, price just varies")</f>
      </c>
      <c r="P11" s="17" t="s">
        <v>75</v>
      </c>
      <c r="Q11" s="17" t="s">
        <v>75</v>
      </c>
    </row>
    <row r="12" spans="1:17" x14ac:dyDescent="0.25">
      <c r="A12" s="7" t="s">
        <v>311</v>
      </c>
      <c r="B12" s="7" t="s">
        <v>312</v>
      </c>
      <c r="C12" s="7" t="s">
        <v>113</v>
      </c>
      <c r="D12" s="7" t="s">
        <v>416</v>
      </c>
      <c r="E12" s="7">
        <v>4</v>
      </c>
      <c r="F12" s="7">
        <v>65</v>
      </c>
      <c r="G12" s="7">
        <v>75</v>
      </c>
      <c r="H12" s="7">
        <v>220</v>
      </c>
      <c r="I12" s="7">
        <v>3.4</v>
      </c>
      <c r="J12" s="7">
        <v>3</v>
      </c>
      <c r="K12" s="7">
        <v>1</v>
      </c>
      <c r="L12" s="7" t="s">
        <v>424</v>
      </c>
      <c r="M12" s="7" t="s">
        <v>425</v>
      </c>
      <c r="N12" s="7">
        <f>COUNTIFS('2. Check each line'!$A$2:$A$107,A12,'2. Check each line'!$R$2:$R$107,"&lt;&gt;")&amp;" of "&amp;COUNTIF('2. Check each line'!$A$2:$A$107,A12)</f>
      </c>
      <c r="O12" s="7">
        <f>COUNTIFS('2. Check each line'!$A$2:$A$107,A12,'2. Check each line'!$R$2:$R$107,"Same part, price just varies")</f>
      </c>
      <c r="P12" s="17" t="s">
        <v>75</v>
      </c>
      <c r="Q12" s="17" t="s">
        <v>75</v>
      </c>
    </row>
    <row r="13" spans="1:17" x14ac:dyDescent="0.25">
      <c r="A13" s="7" t="s">
        <v>320</v>
      </c>
      <c r="B13" s="7" t="s">
        <v>321</v>
      </c>
      <c r="C13" s="7" t="s">
        <v>173</v>
      </c>
      <c r="D13" s="19" t="s">
        <v>426</v>
      </c>
      <c r="E13" s="7">
        <v>8</v>
      </c>
      <c r="F13" s="7">
        <v>7.1</v>
      </c>
      <c r="G13" s="7">
        <v>11.28</v>
      </c>
      <c r="H13" s="7">
        <v>11.28</v>
      </c>
      <c r="I13" s="7">
        <v>1.6</v>
      </c>
      <c r="J13" s="7">
        <v>3</v>
      </c>
      <c r="K13" s="7">
        <v>2</v>
      </c>
      <c r="L13" s="7" t="s">
        <v>427</v>
      </c>
      <c r="M13" s="7" t="s">
        <v>428</v>
      </c>
      <c r="N13" s="7">
        <f>COUNTIFS('2. Check each line'!$A$2:$A$107,A13,'2. Check each line'!$R$2:$R$107,"&lt;&gt;")&amp;" of "&amp;COUNTIF('2. Check each line'!$A$2:$A$107,A13)</f>
      </c>
      <c r="O13" s="7">
        <f>COUNTIFS('2. Check each line'!$A$2:$A$107,A13,'2. Check each line'!$R$2:$R$107,"Same part, price just varies")</f>
      </c>
      <c r="P13" s="17" t="s">
        <v>75</v>
      </c>
      <c r="Q13" s="17" t="s">
        <v>75</v>
      </c>
    </row>
    <row r="14" spans="1:17" x14ac:dyDescent="0.25">
      <c r="A14" s="7" t="s">
        <v>339</v>
      </c>
      <c r="B14" s="7" t="s">
        <v>340</v>
      </c>
      <c r="C14" s="7" t="s">
        <v>113</v>
      </c>
      <c r="D14" s="19" t="s">
        <v>426</v>
      </c>
      <c r="E14" s="7">
        <v>8</v>
      </c>
      <c r="F14" s="7">
        <v>260</v>
      </c>
      <c r="G14" s="7">
        <v>345</v>
      </c>
      <c r="H14" s="7">
        <v>400</v>
      </c>
      <c r="I14" s="7">
        <v>1.5</v>
      </c>
      <c r="J14" s="7">
        <v>7</v>
      </c>
      <c r="K14" s="7">
        <v>3</v>
      </c>
      <c r="L14" s="7" t="s">
        <v>429</v>
      </c>
      <c r="M14" s="7" t="s">
        <v>430</v>
      </c>
      <c r="N14" s="7">
        <f>COUNTIFS('2. Check each line'!$A$2:$A$107,A14,'2. Check each line'!$R$2:$R$107,"&lt;&gt;")&amp;" of "&amp;COUNTIF('2. Check each line'!$A$2:$A$107,A14)</f>
      </c>
      <c r="O14" s="7">
        <f>COUNTIFS('2. Check each line'!$A$2:$A$107,A14,'2. Check each line'!$R$2:$R$107,"Same part, price just varies")</f>
      </c>
      <c r="P14" s="17" t="s">
        <v>75</v>
      </c>
      <c r="Q14" s="17" t="s">
        <v>75</v>
      </c>
    </row>
    <row r="15" spans="1:17" x14ac:dyDescent="0.25">
      <c r="A15" s="7" t="s">
        <v>354</v>
      </c>
      <c r="B15" s="7" t="s">
        <v>355</v>
      </c>
      <c r="C15" s="7" t="s">
        <v>78</v>
      </c>
      <c r="D15" s="19" t="s">
        <v>426</v>
      </c>
      <c r="E15" s="7">
        <v>4</v>
      </c>
      <c r="F15" s="7">
        <v>84</v>
      </c>
      <c r="G15" s="7">
        <v>105</v>
      </c>
      <c r="H15" s="7">
        <v>125</v>
      </c>
      <c r="I15" s="7">
        <v>1.5</v>
      </c>
      <c r="J15" s="7">
        <v>4</v>
      </c>
      <c r="K15" s="7">
        <v>2</v>
      </c>
      <c r="L15" s="7" t="s">
        <v>431</v>
      </c>
      <c r="M15" s="7" t="s">
        <v>432</v>
      </c>
      <c r="N15" s="7">
        <f>COUNTIFS('2. Check each line'!$A$2:$A$107,A15,'2. Check each line'!$R$2:$R$107,"&lt;&gt;")&amp;" of "&amp;COUNTIF('2. Check each line'!$A$2:$A$107,A15)</f>
      </c>
      <c r="O15" s="7">
        <f>COUNTIFS('2. Check each line'!$A$2:$A$107,A15,'2. Check each line'!$R$2:$R$107,"Same part, price just varies")</f>
      </c>
      <c r="P15" s="17" t="s">
        <v>75</v>
      </c>
      <c r="Q15" s="17" t="s">
        <v>75</v>
      </c>
    </row>
    <row r="16" spans="1:17" x14ac:dyDescent="0.25">
      <c r="A16" s="7" t="s">
        <v>368</v>
      </c>
      <c r="B16" s="7" t="s">
        <v>369</v>
      </c>
      <c r="C16" s="7" t="s">
        <v>113</v>
      </c>
      <c r="D16" s="19" t="s">
        <v>426</v>
      </c>
      <c r="E16" s="7">
        <v>4</v>
      </c>
      <c r="F16" s="7">
        <v>600</v>
      </c>
      <c r="G16" s="7">
        <v>665</v>
      </c>
      <c r="H16" s="7">
        <v>880</v>
      </c>
      <c r="I16" s="7">
        <v>1.5</v>
      </c>
      <c r="J16" s="7">
        <v>4</v>
      </c>
      <c r="K16" s="7">
        <v>2</v>
      </c>
      <c r="L16" s="7" t="s">
        <v>369</v>
      </c>
      <c r="M16" s="7" t="s">
        <v>433</v>
      </c>
      <c r="N16" s="7">
        <f>COUNTIFS('2. Check each line'!$A$2:$A$107,A16,'2. Check each line'!$R$2:$R$107,"&lt;&gt;")&amp;" of "&amp;COUNTIF('2. Check each line'!$A$2:$A$107,A16)</f>
      </c>
      <c r="O16" s="7">
        <f>COUNTIFS('2. Check each line'!$A$2:$A$107,A16,'2. Check each line'!$R$2:$R$107,"Same part, price just varies")</f>
      </c>
      <c r="P16" s="17" t="s">
        <v>75</v>
      </c>
      <c r="Q16" s="17" t="s">
        <v>75</v>
      </c>
    </row>
    <row r="17" spans="1:17" x14ac:dyDescent="0.25">
      <c r="A17" s="7" t="s">
        <v>380</v>
      </c>
      <c r="B17" s="7" t="s">
        <v>381</v>
      </c>
      <c r="C17" s="7" t="s">
        <v>78</v>
      </c>
      <c r="D17" s="19" t="s">
        <v>426</v>
      </c>
      <c r="E17" s="7">
        <v>4</v>
      </c>
      <c r="F17" s="7">
        <v>1150</v>
      </c>
      <c r="G17" s="7">
        <v>1274.5</v>
      </c>
      <c r="H17" s="7">
        <v>1480</v>
      </c>
      <c r="I17" s="7">
        <v>1.3</v>
      </c>
      <c r="J17" s="7">
        <v>3</v>
      </c>
      <c r="K17" s="7">
        <v>2</v>
      </c>
      <c r="L17" s="7" t="s">
        <v>434</v>
      </c>
      <c r="M17" s="7" t="s">
        <v>435</v>
      </c>
      <c r="N17" s="7">
        <f>COUNTIFS('2. Check each line'!$A$2:$A$107,A17,'2. Check each line'!$R$2:$R$107,"&lt;&gt;")&amp;" of "&amp;COUNTIF('2. Check each line'!$A$2:$A$107,A17)</f>
      </c>
      <c r="O17" s="7">
        <f>COUNTIFS('2. Check each line'!$A$2:$A$107,A17,'2. Check each line'!$R$2:$R$107,"Same part, price just varies")</f>
      </c>
      <c r="P17" s="17" t="s">
        <v>75</v>
      </c>
      <c r="Q17" s="17" t="s">
        <v>75</v>
      </c>
    </row>
  </sheetData>
  <autoFilter ref="A1:Q17"/>
  <dataValidations count="2">
    <dataValidation type="list" allowBlank="1" sqref="P10:P17">
      <formula1>"Real price differences,Different parts mixed together,Some of both,Can't tell"</formula1>
    </dataValidation>
    <dataValidation type="list" allowBlank="1" sqref="P2:P17">
      <formula1>"Real price differences,Different parts mixed together,Some of both,Can't tell"</formula1>
    </dataValidation>
  </dataValidations>
  <pageMargins left="0.4" right="0.4" top="0.5" bottom="0.5" header="0.2" footer="0.2"/>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803D"/>
    <pageSetUpPr fitToPage="1"/>
  </sheetPr>
  <dimension ref="A1:E22"/>
  <sheetFormatPr defaultRowHeight="15" outlineLevelRow="0" outlineLevelCol="0" x14ac:dyDescent="55"/>
  <cols>
    <col min="1" max="1" width="44" customWidth="1"/>
    <col min="2" max="4" width="14" customWidth="1"/>
    <col min="5" max="5" width="60" customWidth="1"/>
  </cols>
  <sheetData>
    <row r="1" ht="24" customHeight="1" spans="1:1" x14ac:dyDescent="0.25">
      <c r="A1" s="20" t="s">
        <v>436</v>
      </c>
    </row>
    <row r="2" spans="1:2" x14ac:dyDescent="0.25">
      <c r="A2" s="7" t="s">
        <v>437</v>
      </c>
      <c r="B2" s="7">
        <f>COUNTA('2. Check each line'!$R$2:$R$107)&amp;" of 106"</f>
      </c>
    </row>
    <row r="3" spans="1:2" x14ac:dyDescent="0.25">
      <c r="A3" s="7" t="s">
        <v>438</v>
      </c>
      <c r="B3" s="7">
        <f>COUNTA('3. Price groups'!$P$2:$P$17)&amp;" of 16"</f>
      </c>
    </row>
    <row r="5" ht="24" customHeight="1" spans="1:1" x14ac:dyDescent="0.25">
      <c r="A5" s="20" t="s">
        <v>439</v>
      </c>
    </row>
    <row r="6" ht="30" customHeight="1" spans="1:5" x14ac:dyDescent="0.25">
      <c r="A6" s="21" t="s">
        <v>440</v>
      </c>
      <c r="B6" s="21" t="s">
        <v>441</v>
      </c>
      <c r="C6" s="21" t="s">
        <v>442</v>
      </c>
      <c r="D6" s="21" t="s">
        <v>443</v>
      </c>
      <c r="E6" s="21" t="s">
        <v>444</v>
      </c>
    </row>
    <row r="7" spans="1:5" x14ac:dyDescent="0.25">
      <c r="A7" s="5" t="s">
        <v>28</v>
      </c>
      <c r="B7" s="7">
        <f>COUNTIFS('2. Check each line'!$C$2:$C$107,"",'2. Check each line'!$R$2:$R$107,"Same part, price just varies")</f>
      </c>
      <c r="C7" s="22">
        <f>IFERROR(B7/COUNTIFS('2. Check each line'!$C$2:$C$107,"",'2. Check each line'!$R$2:$R$107,"&lt;&gt;"),"")</f>
      </c>
      <c r="D7" s="7">
        <f>COUNTIFS('2. Check each line'!$C$2:$C$107,"Yes",'2. Check each line'!$R$2:$R$107,"Same part, price just varies")</f>
      </c>
      <c r="E7" s="7" t="s">
        <v>29</v>
      </c>
    </row>
    <row r="8" spans="1:5" x14ac:dyDescent="0.25">
      <c r="A8" s="5" t="s">
        <v>30</v>
      </c>
      <c r="B8" s="7">
        <f>COUNTIFS('2. Check each line'!$C$2:$C$107,"",'2. Check each line'!$R$2:$R$107,"Smaller piece of the part")</f>
      </c>
      <c r="C8" s="22">
        <f>IFERROR(B8/COUNTIFS('2. Check each line'!$C$2:$C$107,"",'2. Check each line'!$R$2:$R$107,"&lt;&gt;"),"")</f>
      </c>
      <c r="D8" s="7">
        <f>COUNTIFS('2. Check each line'!$C$2:$C$107,"Yes",'2. Check each line'!$R$2:$R$107,"Smaller piece of the part")</f>
      </c>
      <c r="E8" s="7" t="s">
        <v>31</v>
      </c>
    </row>
    <row r="9" spans="1:5" x14ac:dyDescent="0.25">
      <c r="A9" s="5" t="s">
        <v>32</v>
      </c>
      <c r="B9" s="7">
        <f>COUNTIFS('2. Check each line'!$C$2:$C$107,"",'2. Check each line'!$R$2:$R$107,"Same name, different car")</f>
      </c>
      <c r="C9" s="22">
        <f>IFERROR(B9/COUNTIFS('2. Check each line'!$C$2:$C$107,"",'2. Check each line'!$R$2:$R$107,"&lt;&gt;"),"")</f>
      </c>
      <c r="D9" s="7">
        <f>COUNTIFS('2. Check each line'!$C$2:$C$107,"Yes",'2. Check each line'!$R$2:$R$107,"Same name, different car")</f>
      </c>
      <c r="E9" s="7" t="s">
        <v>33</v>
      </c>
    </row>
    <row r="10" spans="1:5" x14ac:dyDescent="0.25">
      <c r="A10" s="5" t="s">
        <v>34</v>
      </c>
      <c r="B10" s="7">
        <f>COUNTIFS('2. Check each line'!$C$2:$C$107,"",'2. Check each line'!$R$2:$R$107,"Different position (front/rear etc.)")</f>
      </c>
      <c r="C10" s="22">
        <f>IFERROR(B10/COUNTIFS('2. Check each line'!$C$2:$C$107,"",'2. Check each line'!$R$2:$R$107,"&lt;&gt;"),"")</f>
      </c>
      <c r="D10" s="7">
        <f>COUNTIFS('2. Check each line'!$C$2:$C$107,"Yes",'2. Check each line'!$R$2:$R$107,"Different position (front/rear etc.)")</f>
      </c>
      <c r="E10" s="7" t="s">
        <v>35</v>
      </c>
    </row>
    <row r="11" spans="1:5" x14ac:dyDescent="0.25">
      <c r="A11" s="5" t="s">
        <v>36</v>
      </c>
      <c r="B11" s="7">
        <f>COUNTIFS('2. Check each line'!$C$2:$C$107,"",'2. Check each line'!$R$2:$R$107,"Different quality (genuine/copy/used)")</f>
      </c>
      <c r="C11" s="22">
        <f>IFERROR(B11/COUNTIFS('2. Check each line'!$C$2:$C$107,"",'2. Check each line'!$R$2:$R$107,"&lt;&gt;"),"")</f>
      </c>
      <c r="D11" s="7">
        <f>COUNTIFS('2. Check each line'!$C$2:$C$107,"Yes",'2. Check each line'!$R$2:$R$107,"Different quality (genuine/copy/used)")</f>
      </c>
      <c r="E11" s="7" t="s">
        <v>37</v>
      </c>
    </row>
    <row r="12" spans="1:5" x14ac:dyDescent="0.25">
      <c r="A12" s="5" t="s">
        <v>38</v>
      </c>
      <c r="B12" s="7">
        <f>COUNTIFS('2. Check each line'!$C$2:$C$107,"",'2. Check each line'!$R$2:$R$107,"Priced as a pair or set")</f>
      </c>
      <c r="C12" s="22">
        <f>IFERROR(B12/COUNTIFS('2. Check each line'!$C$2:$C$107,"",'2. Check each line'!$R$2:$R$107,"&lt;&gt;"),"")</f>
      </c>
      <c r="D12" s="7">
        <f>COUNTIFS('2. Check each line'!$C$2:$C$107,"Yes",'2. Check each line'!$R$2:$R$107,"Priced as a pair or set")</f>
      </c>
      <c r="E12" s="7" t="s">
        <v>39</v>
      </c>
    </row>
    <row r="13" spans="1:5" x14ac:dyDescent="0.25">
      <c r="A13" s="5" t="s">
        <v>40</v>
      </c>
      <c r="B13" s="7">
        <f>COUNTIFS('2. Check each line'!$C$2:$C$107,"",'2. Check each line'!$R$2:$R$107,"Reading mistake on our record")</f>
      </c>
      <c r="C13" s="22">
        <f>IFERROR(B13/COUNTIFS('2. Check each line'!$C$2:$C$107,"",'2. Check each line'!$R$2:$R$107,"&lt;&gt;"),"")</f>
      </c>
      <c r="D13" s="7">
        <f>COUNTIFS('2. Check each line'!$C$2:$C$107,"Yes",'2. Check each line'!$R$2:$R$107,"Reading mistake on our record")</f>
      </c>
      <c r="E13" s="7" t="s">
        <v>41</v>
      </c>
    </row>
    <row r="14" spans="1:5" x14ac:dyDescent="0.25">
      <c r="A14" s="5" t="s">
        <v>42</v>
      </c>
      <c r="B14" s="7">
        <f>COUNTIFS('2. Check each line'!$C$2:$C$107,"",'2. Check each line'!$R$2:$R$107,"Can't tell")</f>
      </c>
      <c r="C14" s="22">
        <f>IFERROR(B14/COUNTIFS('2. Check each line'!$C$2:$C$107,"",'2. Check each line'!$R$2:$R$107,"&lt;&gt;"),"")</f>
      </c>
      <c r="D14" s="7">
        <f>COUNTIFS('2. Check each line'!$C$2:$C$107,"Yes",'2. Check each line'!$R$2:$R$107,"Can't tell")</f>
      </c>
      <c r="E14" s="7" t="s">
        <v>43</v>
      </c>
    </row>
    <row r="15" spans="1:4" x14ac:dyDescent="0.25">
      <c r="A15" s="5" t="s">
        <v>445</v>
      </c>
      <c r="B15" s="7">
        <f>SUM(B7:B14)</f>
      </c>
      <c r="D15" s="7">
        <f>SUM(D7:D14)</f>
      </c>
    </row>
    <row r="17" ht="24" customHeight="1" spans="1:1" x14ac:dyDescent="0.25">
      <c r="A17" s="20" t="s">
        <v>446</v>
      </c>
    </row>
    <row r="18" spans="1:5" x14ac:dyDescent="0.25">
      <c r="A18" s="7" t="s">
        <v>447</v>
      </c>
      <c r="B18" s="23">
        <f>IFERROR(B7/COUNTIFS('2. Check each line'!$C$2:$C$107,"",'2. Check each line'!$R$2:$R$107,"&lt;&gt;"),0)</f>
      </c>
      <c r="E18" s="7" t="s">
        <v>448</v>
      </c>
    </row>
    <row r="19" spans="1:5" x14ac:dyDescent="0.25">
      <c r="A19" s="7" t="s">
        <v>449</v>
      </c>
      <c r="B19" s="23">
        <f>IFERROR(SUM(B8:B12)/COUNTIFS('2. Check each line'!$C$2:$C$107,"",'2. Check each line'!$R$2:$R$107,"&lt;&gt;"),0)</f>
      </c>
      <c r="E19" s="7" t="s">
        <v>450</v>
      </c>
    </row>
    <row r="20" spans="1:5" x14ac:dyDescent="0.25">
      <c r="A20" s="7" t="s">
        <v>451</v>
      </c>
      <c r="B20" s="23">
        <f>IFERROR(B13/COUNTIFS('2. Check each line'!$C$2:$C$107,"",'2. Check each line'!$R$2:$R$107,"&lt;&gt;"),0)</f>
      </c>
      <c r="E20" s="7" t="s">
        <v>452</v>
      </c>
    </row>
    <row r="21" ht="48" customHeight="1" spans="1:5" x14ac:dyDescent="0.25">
      <c r="A21" s="5" t="s">
        <v>453</v>
      </c>
      <c r="B21" s="5">
        <f>IF(COUNTA('2. Check each line'!$R$2:$R$107)&lt;85,"Finish most of sheet 2 first.",IF(IFERROR(B7/COUNTIFS('2. Check each line'!$C$2:$C$107,"",'2. Check each line'!$R$2:$R$107,"&lt;&gt;"),0)&gt;=0.7,"Mostly real price differences: the wide ranges reflect the market, and the typical price can be used as it is.",IF(IFERROR(SUM(B8:B12)/COUNTIFS('2. Check each line'!$C$2:$C$107,"",'2. Check each line'!$R$2:$R$107,"&lt;&gt;"),0)&gt;=0.5,"Mostly different parts grouped together: the typical price is misleading for these groups. Fix how parts are grouped (for example, group by exact part number) rather than changing the statistics.","A mix of both: some ranges are real, others come from different parts being grouped together. Review the groups one by one on sheet 3.")))</f>
      </c>
      <c r="C21" s="5"/>
      <c r="D21" s="5"/>
      <c r="E21" s="5"/>
    </row>
    <row r="22" ht="34" customHeight="1" spans="1:5" x14ac:dyDescent="0.25">
      <c r="A22" s="7" t="s">
        <v>454</v>
      </c>
      <c r="B22" s="7">
        <f>IF(D15=0,"Not answered yet.",IF(D7/D15&gt;=0.7,"OK: the comparison groups mostly came back as the same part, as expected.","Warning: even the comparison groups came back mostly as different parts. Either the checking is too strict, or the grouping problem affects every group."))</f>
      </c>
      <c r="C22" s="7"/>
      <c r="D22" s="7"/>
      <c r="E22" s="7"/>
    </row>
  </sheetData>
  <mergeCells count="2">
    <mergeCell ref="B21:E21"/>
    <mergeCell ref="B22:E22"/>
  </mergeCells>
  <pageMargins left="0.4" right="0.4" top="0.5" bottom="0.5" header="0.2" footer="0.2"/>
  <pageSetup paperSize="9" orientation="portrait"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1" customWidth="1"/>
    <col min="4" max="4" width="60" customWidth="1"/>
    <col min="5" max="5" width="8" customWidth="1"/>
    <col min="6" max="6" width="16" customWidth="1"/>
    <col min="7" max="7" width="10" customWidth="1"/>
  </cols>
  <sheetData>
    <row r="1" ht="34" customHeight="1" spans="1:7" x14ac:dyDescent="0.25">
      <c r="A1" s="12" t="s">
        <v>61</v>
      </c>
      <c r="B1" s="12" t="s">
        <v>62</v>
      </c>
      <c r="C1" s="12" t="s">
        <v>63</v>
      </c>
      <c r="D1" s="12" t="s">
        <v>64</v>
      </c>
      <c r="E1" s="12" t="s">
        <v>65</v>
      </c>
      <c r="F1" s="12" t="s">
        <v>455</v>
      </c>
      <c r="G1" s="12" t="s">
        <v>456</v>
      </c>
    </row>
    <row r="2" spans="1:7" x14ac:dyDescent="0.25">
      <c r="A2" s="7" t="s">
        <v>138</v>
      </c>
      <c r="B2" s="7" t="s">
        <v>376</v>
      </c>
      <c r="C2" s="7" t="s">
        <v>377</v>
      </c>
      <c r="D2" s="7" t="s">
        <v>378</v>
      </c>
      <c r="E2" s="16" t="s">
        <v>84</v>
      </c>
      <c r="F2" s="7" t="s">
        <v>368</v>
      </c>
      <c r="G2" s="7">
        <v>1</v>
      </c>
    </row>
    <row r="3" spans="1:7" x14ac:dyDescent="0.25">
      <c r="A3" s="7" t="s">
        <v>80</v>
      </c>
      <c r="B3" s="7" t="s">
        <v>94</v>
      </c>
      <c r="C3" s="7" t="s">
        <v>95</v>
      </c>
      <c r="D3" s="7" t="s">
        <v>96</v>
      </c>
      <c r="E3" s="16" t="s">
        <v>84</v>
      </c>
      <c r="F3" s="7" t="s">
        <v>457</v>
      </c>
      <c r="G3" s="7">
        <v>8</v>
      </c>
    </row>
    <row r="4" spans="1:7" x14ac:dyDescent="0.25">
      <c r="A4" s="7" t="s">
        <v>121</v>
      </c>
      <c r="B4" s="7" t="s">
        <v>127</v>
      </c>
      <c r="C4" s="7" t="s">
        <v>128</v>
      </c>
      <c r="D4" s="7" t="s">
        <v>129</v>
      </c>
      <c r="E4" s="16" t="s">
        <v>84</v>
      </c>
      <c r="F4" s="7" t="s">
        <v>458</v>
      </c>
      <c r="G4" s="7">
        <v>3</v>
      </c>
    </row>
    <row r="5" spans="1:7" x14ac:dyDescent="0.25">
      <c r="A5" s="7" t="s">
        <v>230</v>
      </c>
      <c r="B5" s="7" t="s">
        <v>257</v>
      </c>
      <c r="C5" s="7" t="s">
        <v>258</v>
      </c>
      <c r="D5" s="7" t="s">
        <v>259</v>
      </c>
      <c r="E5" s="16" t="s">
        <v>84</v>
      </c>
      <c r="F5" s="7" t="s">
        <v>252</v>
      </c>
      <c r="G5" s="7">
        <v>1</v>
      </c>
    </row>
    <row r="6" spans="1:7" x14ac:dyDescent="0.25">
      <c r="A6" s="7" t="s">
        <v>230</v>
      </c>
      <c r="B6" s="7" t="s">
        <v>346</v>
      </c>
      <c r="C6" s="7" t="s">
        <v>258</v>
      </c>
      <c r="D6" s="7" t="s">
        <v>347</v>
      </c>
      <c r="E6" s="16" t="s">
        <v>84</v>
      </c>
      <c r="F6" s="7" t="s">
        <v>339</v>
      </c>
      <c r="G6" s="7">
        <v>1</v>
      </c>
    </row>
    <row r="7" spans="1:7" x14ac:dyDescent="0.25">
      <c r="A7" s="7" t="s">
        <v>230</v>
      </c>
      <c r="B7" s="7" t="s">
        <v>262</v>
      </c>
      <c r="C7" s="7" t="s">
        <v>263</v>
      </c>
      <c r="D7" s="7" t="s">
        <v>264</v>
      </c>
      <c r="E7" s="16" t="s">
        <v>84</v>
      </c>
      <c r="F7" s="7" t="s">
        <v>252</v>
      </c>
      <c r="G7" s="7">
        <v>1</v>
      </c>
    </row>
    <row r="8" spans="1:7" x14ac:dyDescent="0.25">
      <c r="A8" s="7" t="s">
        <v>114</v>
      </c>
      <c r="B8" s="7" t="s">
        <v>115</v>
      </c>
      <c r="C8" s="7" t="s">
        <v>116</v>
      </c>
      <c r="D8" s="7" t="s">
        <v>117</v>
      </c>
      <c r="E8" s="16" t="s">
        <v>84</v>
      </c>
      <c r="F8" s="7" t="s">
        <v>109</v>
      </c>
      <c r="G8" s="7">
        <v>2</v>
      </c>
    </row>
    <row r="9" spans="1:7" x14ac:dyDescent="0.25">
      <c r="A9" s="7" t="s">
        <v>99</v>
      </c>
      <c r="B9" s="7" t="s">
        <v>100</v>
      </c>
      <c r="C9" s="7" t="s">
        <v>101</v>
      </c>
      <c r="D9" s="7" t="s">
        <v>102</v>
      </c>
      <c r="E9" s="16" t="s">
        <v>84</v>
      </c>
      <c r="F9" s="7" t="s">
        <v>73</v>
      </c>
      <c r="G9" s="7">
        <v>1</v>
      </c>
    </row>
    <row r="10" spans="1:7" x14ac:dyDescent="0.25">
      <c r="A10" s="7" t="s">
        <v>80</v>
      </c>
      <c r="B10" s="7" t="s">
        <v>105</v>
      </c>
      <c r="C10" s="7" t="s">
        <v>106</v>
      </c>
      <c r="D10" s="7" t="s">
        <v>107</v>
      </c>
      <c r="E10" s="16" t="s">
        <v>84</v>
      </c>
      <c r="F10" s="7" t="s">
        <v>459</v>
      </c>
      <c r="G10" s="7">
        <v>3</v>
      </c>
    </row>
    <row r="11" spans="1:7" x14ac:dyDescent="0.25">
      <c r="A11" s="7" t="s">
        <v>196</v>
      </c>
      <c r="B11" s="7" t="s">
        <v>363</v>
      </c>
      <c r="C11" s="7" t="s">
        <v>364</v>
      </c>
      <c r="D11" s="7" t="s">
        <v>365</v>
      </c>
      <c r="E11" s="16" t="s">
        <v>84</v>
      </c>
      <c r="F11" s="7" t="s">
        <v>354</v>
      </c>
      <c r="G11" s="7">
        <v>1</v>
      </c>
    </row>
    <row r="12" spans="1:7" x14ac:dyDescent="0.25">
      <c r="A12" s="7" t="s">
        <v>138</v>
      </c>
      <c r="B12" s="7" t="s">
        <v>155</v>
      </c>
      <c r="C12" s="7" t="s">
        <v>156</v>
      </c>
      <c r="D12" s="7" t="s">
        <v>157</v>
      </c>
      <c r="E12" s="16" t="s">
        <v>84</v>
      </c>
      <c r="F12" s="7" t="s">
        <v>460</v>
      </c>
      <c r="G12" s="7">
        <v>2</v>
      </c>
    </row>
    <row r="13" spans="1:7" x14ac:dyDescent="0.25">
      <c r="A13" s="7" t="s">
        <v>121</v>
      </c>
      <c r="B13" s="7" t="s">
        <v>134</v>
      </c>
      <c r="C13" s="7" t="s">
        <v>135</v>
      </c>
      <c r="D13" s="7" t="s">
        <v>136</v>
      </c>
      <c r="E13" s="16" t="s">
        <v>84</v>
      </c>
      <c r="F13" s="7" t="s">
        <v>458</v>
      </c>
      <c r="G13" s="7">
        <v>2</v>
      </c>
    </row>
    <row r="14" spans="1:7" x14ac:dyDescent="0.25">
      <c r="A14" s="7" t="s">
        <v>138</v>
      </c>
      <c r="B14" s="7" t="s">
        <v>285</v>
      </c>
      <c r="C14" s="7" t="s">
        <v>160</v>
      </c>
      <c r="D14" s="7" t="s">
        <v>286</v>
      </c>
      <c r="E14" s="16" t="s">
        <v>84</v>
      </c>
      <c r="F14" s="7" t="s">
        <v>272</v>
      </c>
      <c r="G14" s="7">
        <v>1</v>
      </c>
    </row>
    <row r="15" spans="1:7" x14ac:dyDescent="0.25">
      <c r="A15" s="7" t="s">
        <v>230</v>
      </c>
      <c r="B15" s="7" t="s">
        <v>270</v>
      </c>
      <c r="C15" s="7" t="s">
        <v>258</v>
      </c>
      <c r="D15" s="7" t="s">
        <v>271</v>
      </c>
      <c r="E15" s="16" t="s">
        <v>84</v>
      </c>
      <c r="F15" s="7" t="s">
        <v>461</v>
      </c>
      <c r="G15" s="7">
        <v>3</v>
      </c>
    </row>
    <row r="16" spans="1:7" x14ac:dyDescent="0.25">
      <c r="A16" s="7" t="s">
        <v>230</v>
      </c>
      <c r="B16" s="7" t="s">
        <v>352</v>
      </c>
      <c r="C16" s="7" t="s">
        <v>258</v>
      </c>
      <c r="D16" s="7" t="s">
        <v>353</v>
      </c>
      <c r="E16" s="16" t="s">
        <v>84</v>
      </c>
      <c r="F16" s="7" t="s">
        <v>339</v>
      </c>
      <c r="G16" s="7">
        <v>1</v>
      </c>
    </row>
    <row r="17" spans="1:7" x14ac:dyDescent="0.25">
      <c r="A17" s="7" t="s">
        <v>138</v>
      </c>
      <c r="B17" s="7" t="s">
        <v>163</v>
      </c>
      <c r="C17" s="7" t="s">
        <v>164</v>
      </c>
      <c r="D17" s="7" t="s">
        <v>165</v>
      </c>
      <c r="E17" s="16" t="s">
        <v>84</v>
      </c>
      <c r="F17" s="7" t="s">
        <v>460</v>
      </c>
      <c r="G17" s="7">
        <v>2</v>
      </c>
    </row>
    <row r="18" spans="1:7" x14ac:dyDescent="0.25">
      <c r="A18" s="7" t="s">
        <v>121</v>
      </c>
      <c r="B18" s="7" t="s">
        <v>122</v>
      </c>
      <c r="C18" s="7" t="s">
        <v>123</v>
      </c>
      <c r="D18" s="7" t="s">
        <v>124</v>
      </c>
      <c r="E18" s="16" t="s">
        <v>84</v>
      </c>
      <c r="F18" s="7" t="s">
        <v>462</v>
      </c>
      <c r="G18" s="7">
        <v>3</v>
      </c>
    </row>
    <row r="19" spans="1:7" x14ac:dyDescent="0.25">
      <c r="A19" s="7" t="s">
        <v>230</v>
      </c>
      <c r="B19" s="7" t="s">
        <v>282</v>
      </c>
      <c r="C19" s="7" t="s">
        <v>232</v>
      </c>
      <c r="D19" s="7" t="s">
        <v>283</v>
      </c>
      <c r="E19" s="16" t="s">
        <v>84</v>
      </c>
      <c r="F19" s="7" t="s">
        <v>463</v>
      </c>
      <c r="G19" s="7">
        <v>4</v>
      </c>
    </row>
    <row r="20" spans="1:7" x14ac:dyDescent="0.25">
      <c r="A20" s="7" t="s">
        <v>230</v>
      </c>
      <c r="B20" s="7" t="s">
        <v>231</v>
      </c>
      <c r="C20" s="7" t="s">
        <v>232</v>
      </c>
      <c r="D20" s="7" t="s">
        <v>233</v>
      </c>
      <c r="E20" s="16" t="s">
        <v>84</v>
      </c>
      <c r="F20" s="7" t="s">
        <v>224</v>
      </c>
      <c r="G20" s="7">
        <v>1</v>
      </c>
    </row>
    <row r="21" spans="1:7" x14ac:dyDescent="0.25">
      <c r="A21" s="7" t="s">
        <v>230</v>
      </c>
      <c r="B21" s="7" t="s">
        <v>371</v>
      </c>
      <c r="C21" s="7" t="s">
        <v>232</v>
      </c>
      <c r="D21" s="7" t="s">
        <v>372</v>
      </c>
      <c r="E21" s="16" t="s">
        <v>84</v>
      </c>
      <c r="F21" s="7" t="s">
        <v>368</v>
      </c>
      <c r="G21" s="7">
        <v>1</v>
      </c>
    </row>
    <row r="22" spans="1:7" x14ac:dyDescent="0.25">
      <c r="A22" s="7" t="s">
        <v>230</v>
      </c>
      <c r="B22" s="7" t="s">
        <v>265</v>
      </c>
      <c r="C22" s="7" t="s">
        <v>181</v>
      </c>
      <c r="D22" s="7" t="s">
        <v>266</v>
      </c>
      <c r="E22" s="16" t="s">
        <v>84</v>
      </c>
      <c r="F22" s="7" t="s">
        <v>252</v>
      </c>
      <c r="G22" s="7">
        <v>1</v>
      </c>
    </row>
    <row r="23" spans="1:7" x14ac:dyDescent="0.25">
      <c r="A23" s="7" t="s">
        <v>230</v>
      </c>
      <c r="B23" s="7" t="s">
        <v>255</v>
      </c>
      <c r="C23" s="7" t="s">
        <v>232</v>
      </c>
      <c r="D23" s="7" t="s">
        <v>256</v>
      </c>
      <c r="E23" s="16" t="s">
        <v>84</v>
      </c>
      <c r="F23" s="7" t="s">
        <v>252</v>
      </c>
      <c r="G23" s="7">
        <v>1</v>
      </c>
    </row>
    <row r="24" spans="1:7" x14ac:dyDescent="0.25">
      <c r="A24" s="7" t="s">
        <v>174</v>
      </c>
      <c r="B24" s="7" t="s">
        <v>328</v>
      </c>
      <c r="C24" s="7" t="s">
        <v>329</v>
      </c>
      <c r="D24" s="7" t="s">
        <v>330</v>
      </c>
      <c r="E24" s="16" t="s">
        <v>84</v>
      </c>
      <c r="F24" s="7" t="s">
        <v>320</v>
      </c>
      <c r="G24" s="7">
        <v>1</v>
      </c>
    </row>
    <row r="25" spans="1:7" x14ac:dyDescent="0.25">
      <c r="A25" s="7" t="s">
        <v>174</v>
      </c>
      <c r="B25" s="7" t="s">
        <v>333</v>
      </c>
      <c r="C25" s="7" t="s">
        <v>140</v>
      </c>
      <c r="D25" s="7" t="s">
        <v>334</v>
      </c>
      <c r="E25" s="16" t="s">
        <v>84</v>
      </c>
      <c r="F25" s="7" t="s">
        <v>320</v>
      </c>
      <c r="G25" s="7">
        <v>1</v>
      </c>
    </row>
    <row r="26" spans="1:7" x14ac:dyDescent="0.25">
      <c r="A26" s="7" t="s">
        <v>80</v>
      </c>
      <c r="B26" s="7" t="s">
        <v>167</v>
      </c>
      <c r="C26" s="7" t="s">
        <v>168</v>
      </c>
      <c r="D26" s="7" t="s">
        <v>169</v>
      </c>
      <c r="E26" s="16" t="s">
        <v>84</v>
      </c>
      <c r="F26" s="7" t="s">
        <v>109</v>
      </c>
      <c r="G26" s="7">
        <v>1</v>
      </c>
    </row>
    <row r="27" spans="1:7" x14ac:dyDescent="0.25">
      <c r="A27" s="7" t="s">
        <v>230</v>
      </c>
      <c r="B27" s="7" t="s">
        <v>240</v>
      </c>
      <c r="C27" s="7" t="s">
        <v>241</v>
      </c>
      <c r="D27" s="7" t="s">
        <v>242</v>
      </c>
      <c r="E27" s="16" t="s">
        <v>84</v>
      </c>
      <c r="F27" s="7" t="s">
        <v>464</v>
      </c>
      <c r="G27" s="7">
        <v>7</v>
      </c>
    </row>
    <row r="28" spans="1:7" x14ac:dyDescent="0.25">
      <c r="A28" s="7" t="s">
        <v>80</v>
      </c>
      <c r="B28" s="7" t="s">
        <v>358</v>
      </c>
      <c r="C28" s="7" t="s">
        <v>359</v>
      </c>
      <c r="D28" s="7" t="s">
        <v>360</v>
      </c>
      <c r="E28" s="16" t="s">
        <v>84</v>
      </c>
      <c r="F28" s="7" t="s">
        <v>354</v>
      </c>
      <c r="G28" s="7">
        <v>1</v>
      </c>
    </row>
    <row r="29" spans="1:7" x14ac:dyDescent="0.25">
      <c r="A29" s="7" t="s">
        <v>80</v>
      </c>
      <c r="B29" s="7" t="s">
        <v>81</v>
      </c>
      <c r="C29" s="7" t="s">
        <v>82</v>
      </c>
      <c r="D29" s="7" t="s">
        <v>83</v>
      </c>
      <c r="E29" s="16" t="s">
        <v>84</v>
      </c>
      <c r="F29" s="7" t="s">
        <v>465</v>
      </c>
      <c r="G29" s="7">
        <v>4</v>
      </c>
    </row>
    <row r="30" spans="1:7" x14ac:dyDescent="0.25">
      <c r="A30" s="7" t="s">
        <v>196</v>
      </c>
      <c r="B30" s="7" t="s">
        <v>197</v>
      </c>
      <c r="C30" s="7" t="s">
        <v>198</v>
      </c>
      <c r="D30" s="7" t="s">
        <v>199</v>
      </c>
      <c r="E30" s="16" t="s">
        <v>84</v>
      </c>
      <c r="F30" s="7" t="s">
        <v>466</v>
      </c>
      <c r="G30" s="7">
        <v>3</v>
      </c>
    </row>
    <row r="31" spans="1:7" x14ac:dyDescent="0.25">
      <c r="A31" s="7" t="s">
        <v>138</v>
      </c>
      <c r="B31" s="7" t="s">
        <v>150</v>
      </c>
      <c r="C31" s="7" t="s">
        <v>151</v>
      </c>
      <c r="D31" s="7" t="s">
        <v>152</v>
      </c>
      <c r="E31" s="16" t="s">
        <v>84</v>
      </c>
      <c r="F31" s="7" t="s">
        <v>460</v>
      </c>
      <c r="G31" s="7">
        <v>2</v>
      </c>
    </row>
    <row r="32" spans="1:7" x14ac:dyDescent="0.25">
      <c r="A32" s="7" t="s">
        <v>138</v>
      </c>
      <c r="B32" s="7" t="s">
        <v>143</v>
      </c>
      <c r="C32" s="7" t="s">
        <v>144</v>
      </c>
      <c r="D32" s="7" t="s">
        <v>145</v>
      </c>
      <c r="E32" s="16" t="s">
        <v>84</v>
      </c>
      <c r="F32" s="7" t="s">
        <v>467</v>
      </c>
      <c r="G32" s="7">
        <v>4</v>
      </c>
    </row>
    <row r="33" spans="1:7" x14ac:dyDescent="0.25">
      <c r="A33" s="7" t="s">
        <v>138</v>
      </c>
      <c r="B33" s="7" t="s">
        <v>159</v>
      </c>
      <c r="C33" s="7" t="s">
        <v>160</v>
      </c>
      <c r="D33" s="7" t="s">
        <v>161</v>
      </c>
      <c r="E33" s="16" t="s">
        <v>84</v>
      </c>
      <c r="F33" s="7" t="s">
        <v>468</v>
      </c>
      <c r="G33" s="7">
        <v>4</v>
      </c>
    </row>
    <row r="34" spans="1:7" x14ac:dyDescent="0.25">
      <c r="A34" s="7" t="s">
        <v>138</v>
      </c>
      <c r="B34" s="7" t="s">
        <v>277</v>
      </c>
      <c r="C34" s="7" t="s">
        <v>278</v>
      </c>
      <c r="D34" s="7" t="s">
        <v>279</v>
      </c>
      <c r="E34" s="16" t="s">
        <v>84</v>
      </c>
      <c r="F34" s="7" t="s">
        <v>469</v>
      </c>
      <c r="G34" s="7">
        <v>2</v>
      </c>
    </row>
    <row r="35" spans="1:7" x14ac:dyDescent="0.25">
      <c r="A35" s="7" t="s">
        <v>230</v>
      </c>
      <c r="B35" s="7" t="s">
        <v>236</v>
      </c>
      <c r="C35" s="7" t="s">
        <v>237</v>
      </c>
      <c r="D35" s="7" t="s">
        <v>238</v>
      </c>
      <c r="E35" s="16" t="s">
        <v>84</v>
      </c>
      <c r="F35" s="7" t="s">
        <v>470</v>
      </c>
      <c r="G35" s="7">
        <v>3</v>
      </c>
    </row>
    <row r="36" spans="1:7" x14ac:dyDescent="0.25">
      <c r="A36" s="7" t="s">
        <v>174</v>
      </c>
      <c r="B36" s="7" t="s">
        <v>175</v>
      </c>
      <c r="C36" s="7" t="s">
        <v>176</v>
      </c>
      <c r="D36" s="7" t="s">
        <v>177</v>
      </c>
      <c r="E36" s="16" t="s">
        <v>84</v>
      </c>
      <c r="F36" s="7" t="s">
        <v>471</v>
      </c>
      <c r="G36" s="7">
        <v>3</v>
      </c>
    </row>
    <row r="37" spans="1:7" x14ac:dyDescent="0.25">
      <c r="A37" s="7" t="s">
        <v>174</v>
      </c>
      <c r="B37" s="7" t="s">
        <v>335</v>
      </c>
      <c r="C37" s="7" t="s">
        <v>336</v>
      </c>
      <c r="D37" s="7" t="s">
        <v>337</v>
      </c>
      <c r="E37" s="16" t="s">
        <v>84</v>
      </c>
      <c r="F37" s="7" t="s">
        <v>320</v>
      </c>
      <c r="G37" s="7">
        <v>1</v>
      </c>
    </row>
    <row r="38" spans="1:7" x14ac:dyDescent="0.25">
      <c r="A38" s="7" t="s">
        <v>173</v>
      </c>
      <c r="B38" s="7" t="s">
        <v>325</v>
      </c>
      <c r="C38" s="7" t="s">
        <v>75</v>
      </c>
      <c r="D38" s="7" t="s">
        <v>326</v>
      </c>
      <c r="E38" s="16" t="s">
        <v>84</v>
      </c>
      <c r="F38" s="7" t="s">
        <v>320</v>
      </c>
      <c r="G38" s="7">
        <v>2</v>
      </c>
    </row>
    <row r="39" spans="1:7" x14ac:dyDescent="0.25">
      <c r="A39" s="7" t="s">
        <v>174</v>
      </c>
      <c r="B39" s="7" t="s">
        <v>180</v>
      </c>
      <c r="C39" s="7" t="s">
        <v>181</v>
      </c>
      <c r="D39" s="7" t="s">
        <v>182</v>
      </c>
      <c r="E39" s="16" t="s">
        <v>84</v>
      </c>
      <c r="F39" s="7" t="s">
        <v>170</v>
      </c>
      <c r="G39" s="7">
        <v>2</v>
      </c>
    </row>
    <row r="40" spans="1:7" x14ac:dyDescent="0.25">
      <c r="A40" s="7" t="s">
        <v>173</v>
      </c>
      <c r="B40" s="7" t="s">
        <v>75</v>
      </c>
      <c r="C40" s="7" t="s">
        <v>186</v>
      </c>
      <c r="D40" s="7" t="s">
        <v>183</v>
      </c>
      <c r="E40" s="16" t="s">
        <v>84</v>
      </c>
      <c r="F40" s="7" t="s">
        <v>471</v>
      </c>
      <c r="G40" s="7">
        <v>5</v>
      </c>
    </row>
    <row r="41" spans="1:7" x14ac:dyDescent="0.25">
      <c r="A41" s="7" t="s">
        <v>121</v>
      </c>
      <c r="B41" s="7" t="s">
        <v>316</v>
      </c>
      <c r="C41" s="7" t="s">
        <v>317</v>
      </c>
      <c r="D41" s="7" t="s">
        <v>318</v>
      </c>
      <c r="E41" s="16" t="s">
        <v>84</v>
      </c>
      <c r="F41" s="7" t="s">
        <v>472</v>
      </c>
      <c r="G41" s="7">
        <v>2</v>
      </c>
    </row>
    <row r="42" spans="1:7" x14ac:dyDescent="0.25">
      <c r="A42" s="7" t="s">
        <v>138</v>
      </c>
      <c r="B42" s="7" t="s">
        <v>139</v>
      </c>
      <c r="C42" s="7" t="s">
        <v>140</v>
      </c>
      <c r="D42" s="7" t="s">
        <v>141</v>
      </c>
      <c r="E42" s="16" t="s">
        <v>84</v>
      </c>
      <c r="F42" s="7" t="s">
        <v>109</v>
      </c>
      <c r="G42" s="7">
        <v>1</v>
      </c>
    </row>
    <row r="43" spans="1:7" x14ac:dyDescent="0.25">
      <c r="A43" s="7" t="s">
        <v>230</v>
      </c>
      <c r="B43" s="7" t="s">
        <v>247</v>
      </c>
      <c r="C43" s="7" t="s">
        <v>248</v>
      </c>
      <c r="D43" s="7" t="s">
        <v>249</v>
      </c>
      <c r="E43" s="16" t="s">
        <v>84</v>
      </c>
      <c r="F43" s="7" t="s">
        <v>473</v>
      </c>
      <c r="G43" s="7">
        <v>4</v>
      </c>
    </row>
    <row r="44" spans="1:7" x14ac:dyDescent="0.25">
      <c r="A44" s="7" t="s">
        <v>87</v>
      </c>
      <c r="B44" s="7" t="s">
        <v>88</v>
      </c>
      <c r="C44" s="7" t="s">
        <v>89</v>
      </c>
      <c r="D44" s="7" t="s">
        <v>90</v>
      </c>
      <c r="E44" s="7" t="s">
        <v>91</v>
      </c>
      <c r="F44" s="7" t="s">
        <v>474</v>
      </c>
      <c r="G44" s="7">
        <v>2</v>
      </c>
    </row>
    <row r="45" spans="1:7" x14ac:dyDescent="0.25">
      <c r="A45" s="7" t="s">
        <v>87</v>
      </c>
      <c r="B45" s="7" t="s">
        <v>190</v>
      </c>
      <c r="C45" s="7" t="s">
        <v>191</v>
      </c>
      <c r="D45" s="7" t="s">
        <v>90</v>
      </c>
      <c r="E45" s="7" t="s">
        <v>91</v>
      </c>
      <c r="F45" s="7" t="s">
        <v>187</v>
      </c>
      <c r="G45" s="7">
        <v>1</v>
      </c>
    </row>
    <row r="46" spans="1:7" x14ac:dyDescent="0.25">
      <c r="A46" s="7" t="s">
        <v>208</v>
      </c>
      <c r="B46" s="7" t="s">
        <v>209</v>
      </c>
      <c r="C46" s="7" t="s">
        <v>210</v>
      </c>
      <c r="D46" s="7" t="s">
        <v>90</v>
      </c>
      <c r="E46" s="7" t="s">
        <v>91</v>
      </c>
      <c r="F46" s="7" t="s">
        <v>202</v>
      </c>
      <c r="G46" s="7">
        <v>1</v>
      </c>
    </row>
    <row r="47" spans="1:7" x14ac:dyDescent="0.25">
      <c r="A47" s="7" t="s">
        <v>208</v>
      </c>
      <c r="B47" s="7" t="s">
        <v>212</v>
      </c>
      <c r="C47" s="7" t="s">
        <v>213</v>
      </c>
      <c r="D47" s="7" t="s">
        <v>90</v>
      </c>
      <c r="E47" s="7" t="s">
        <v>91</v>
      </c>
      <c r="F47" s="7" t="s">
        <v>202</v>
      </c>
      <c r="G47" s="7">
        <v>1</v>
      </c>
    </row>
    <row r="48" spans="1:7" x14ac:dyDescent="0.25">
      <c r="A48" s="7" t="s">
        <v>208</v>
      </c>
      <c r="B48" s="7" t="s">
        <v>216</v>
      </c>
      <c r="C48" s="7" t="s">
        <v>217</v>
      </c>
      <c r="D48" s="7" t="s">
        <v>90</v>
      </c>
      <c r="E48" s="7" t="s">
        <v>91</v>
      </c>
      <c r="F48" s="7" t="s">
        <v>202</v>
      </c>
      <c r="G48" s="7">
        <v>1</v>
      </c>
    </row>
    <row r="49" spans="1:7" x14ac:dyDescent="0.25">
      <c r="A49" s="7" t="s">
        <v>208</v>
      </c>
      <c r="B49" s="7" t="s">
        <v>220</v>
      </c>
      <c r="C49" s="7" t="s">
        <v>221</v>
      </c>
      <c r="D49" s="7" t="s">
        <v>90</v>
      </c>
      <c r="E49" s="7" t="s">
        <v>91</v>
      </c>
      <c r="F49" s="7" t="s">
        <v>202</v>
      </c>
      <c r="G49" s="7">
        <v>2</v>
      </c>
    </row>
    <row r="50" spans="1:7" x14ac:dyDescent="0.25">
      <c r="A50" s="7" t="s">
        <v>208</v>
      </c>
      <c r="B50" s="7" t="s">
        <v>299</v>
      </c>
      <c r="C50" s="7" t="s">
        <v>300</v>
      </c>
      <c r="D50" s="7" t="s">
        <v>90</v>
      </c>
      <c r="E50" s="7" t="s">
        <v>91</v>
      </c>
      <c r="F50" s="7" t="s">
        <v>296</v>
      </c>
      <c r="G50" s="7">
        <v>1</v>
      </c>
    </row>
  </sheetData>
  <autoFilter ref="A1:G50"/>
  <hyperlinks>
    <hyperlink ref="E2" r:id="rId1" tooltip="2025-05-20-Allianz Insurance Singapore Pte. Ltd.-TOYOTA-1.PDF"/>
    <hyperlink ref="E3" r:id="rId2" tooltip="2025-08-17-Allianz Insurance Singapore Pte. Ltd.-MERCEDES-BENZ-6.JPG"/>
    <hyperlink ref="E4" r:id="rId3" tooltip="2025-09-17-AIG Asia Pacific Insurance Pte. Ltd.-TOYOTA-21.PDF"/>
    <hyperlink ref="E5" r:id="rId4" tooltip="2025-09-26-EQ Insurance Company Ltd-TOYOTA-26.PDF"/>
    <hyperlink ref="E6" r:id="rId5" tooltip="2025-09-26-EQ Insurance Company Ltd-TOYOTA-27.PDF"/>
    <hyperlink ref="E7" r:id="rId6" tooltip="2025-09-26-EQ Insurance Company Ltd-TOYOTA-29.PDF"/>
    <hyperlink ref="E8" r:id="rId7" tooltip="2025-10-08-AIG Asia Pacific Insurance Pte. Ltd.-TOYOTA-45.PDF"/>
    <hyperlink ref="E9" r:id="rId8" tooltip="2025-10-15-AIG Asia Pacific Insurance Pte. Ltd.-MERCEDES-BENZ-49.PDF"/>
    <hyperlink ref="E10" r:id="rId9" tooltip="2025-10-17-AIG Asia Pacific Insurance Pte. Ltd.-MERCEDES-BENZ-55.PDF"/>
    <hyperlink ref="E11" r:id="rId10" tooltip="2025-10-21-AIG Asia Pacific Insurance Pte. Ltd.-MERCEDES-BENZ-57.PDF"/>
    <hyperlink ref="E12" r:id="rId11" tooltip="2025-10-21-HL Assurance Pte Ltd-TOYOTA-58.PDF"/>
    <hyperlink ref="E13" r:id="rId12" tooltip="2025-10-27-AIG Asia Pacific Insurance Pte. Ltd.-TOYOTA-60.PDF"/>
    <hyperlink ref="E14" r:id="rId13" tooltip="2025-11-18-AIG Asia Pacific Insurance Pte. Ltd.-TOYOTA-72.PDF"/>
    <hyperlink ref="E15" r:id="rId14" tooltip="2025-11-19-Tokio Marine Insurance Singapore Ltd-TOYOTA-74.PDF"/>
    <hyperlink ref="E16" r:id="rId15" tooltip="2025-11-19-Tokio Marine Insurance Singapore Ltd-TOYOTA-75.PDF"/>
    <hyperlink ref="E17" r:id="rId16" tooltip="2025-11-22-AIG Asia Pacific Insurance Pte. Ltd.-LEXUS-80.PDF"/>
    <hyperlink ref="E18" r:id="rId17" tooltip="2025-11-24-Tokio Marine Insurance Singapore Ltd-TOYOTA-81.PDF"/>
    <hyperlink ref="E19" r:id="rId18" tooltip="2025-11-29-Allianz Insurance Singapore Pte. Ltd.-TOYOTA-83.PDF"/>
    <hyperlink ref="E20" r:id="rId19" tooltip="2025-11-29-Allianz Insurance Singapore Pte. Ltd.-TOYOTA-84.PDF"/>
    <hyperlink ref="E21" r:id="rId20" tooltip="2025-11-29-Allianz Insurance Singapore Pte. Ltd.-TOYOTA-88.PDF"/>
    <hyperlink ref="E22" r:id="rId21" tooltip="2025-11-29-Allianz Insurance Singapore Pte. Ltd.-TOYOTA-90.PDF"/>
    <hyperlink ref="E23" r:id="rId22" tooltip="2025-11-29-Allianz Insurance Singapore Pte. Ltd.-TOYOTA-91.PDF"/>
    <hyperlink ref="E24" r:id="rId23" tooltip="2025-12-02-Allianz Insurance Singapore Pte. Ltd.-TESLA-94.PDF"/>
    <hyperlink ref="E25" r:id="rId24" tooltip="2025-12-02-Allianz Insurance Singapore Pte. Ltd.-TESLA-95.PDF"/>
    <hyperlink ref="E26" r:id="rId25" tooltip="2025-12-03-Allianz Insurance Singapore Pte. Ltd.-TOYOTA-101.PDF"/>
    <hyperlink ref="E27" r:id="rId26" tooltip="2025-12-05-Tokio Marine Insurance Singapore Ltd-TOYOTA-106.PDF"/>
    <hyperlink ref="E28" r:id="rId27" tooltip="2026-01-05-Allianz Insurance Singapore Pte. Ltd.-MERCEDES-BENZ-131.PDF"/>
    <hyperlink ref="E29" r:id="rId28" tooltip="2026-01-05-Allianz Insurance Singapore Pte. Ltd.-MERCEDES-BENZ-132.PDF"/>
    <hyperlink ref="E30" r:id="rId29" tooltip="2026-01-07-Tokio Marine Insurance Singapore Ltd-MERCEDES-BENZ-135.PDF"/>
    <hyperlink ref="E31" r:id="rId30" tooltip="2026-01-14-HL Assurance Pte Ltd-TOYOTA-139.PDF"/>
    <hyperlink ref="E32" r:id="rId31" tooltip="2026-01-15-Allianz Insurance Singapore Pte. Ltd.-TOYOTA-140.PDF"/>
    <hyperlink ref="E33" r:id="rId32" tooltip="2026-01-21-HL Assurance Pte Ltd-TOYOTA-146.PDF"/>
    <hyperlink ref="E34" r:id="rId33" tooltip="2026-02-02-AIG Asia Pacific Insurance Pte. Ltd.-TOYOTA-151.PDF"/>
    <hyperlink ref="E35" r:id="rId34" tooltip="2026-02-03-AIG Asia Pacific Insurance Pte. Ltd.-TOYOTA-152.PDF"/>
    <hyperlink ref="E36" r:id="rId35" tooltip="2026-02-09-Allianz Insurance Singapore Pte. Ltd.-TESLA-155.PDF"/>
    <hyperlink ref="E37" r:id="rId36" tooltip="2026-02-09-Allianz Insurance Singapore Pte. Ltd.-TESLA-156.PDF"/>
    <hyperlink ref="E38" r:id="rId37" tooltip="2026-02-09-Allianz Insurance Singapore Pte. Ltd.-TESLA-158.JPG"/>
    <hyperlink ref="E39" r:id="rId38" tooltip="2026-02-09-Allianz Insurance Singapore Pte. Ltd.-TESLA-169.PDF"/>
    <hyperlink ref="E40" r:id="rId39" tooltip="2026-02-09-Allianz Insurance Singapore Pte. Ltd.-TESLA-173.JPG"/>
    <hyperlink ref="E41" r:id="rId40" tooltip="2026-02-12-AIG Asia Pacific Insurance Pte. Ltd.-TOYOTA-178.PDF"/>
    <hyperlink ref="E42" r:id="rId41" tooltip="2026-02-23-Allianz Insurance Singapore Pte. Ltd.-TOYOTA-179.PDF"/>
    <hyperlink ref="E43" r:id="rId42" tooltip="2026-02-25-ECICS Limited-TOYOTA-181.PDF"/>
  </hyperlinks>
  <pageMargins left="0.4" right="0.4" top="0.5" bottom="0.5" header="0.2" footer="0.2"/>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Start here</vt:lpstr>
      <vt:lpstr>2. Check each line</vt:lpstr>
      <vt:lpstr>3. Price groups</vt:lpstr>
      <vt:lpstr>4. Results</vt:lpstr>
      <vt:lpstr>5.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2026-10-15T10:28:31Z</dcterms:created>
  <dcterms:modified xsi:type="dcterms:W3CDTF">2026-10-15T10:28:31Z</dcterms:modified>
</cp:coreProperties>
</file>