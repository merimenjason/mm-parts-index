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tart here" state="visible" r:id="rId4"/>
    <sheet sheetId="2" name="2. Please check these" state="visible" r:id="rId5"/>
    <sheet sheetId="3" name="3. Spot check" state="visible" r:id="rId6"/>
    <sheet sheetId="4" name="4. Results" state="visible" r:id="rId7"/>
    <sheet sheetId="5" name="5. All lines" state="visible" r:id="rId8"/>
    <sheet sheetId="6" name="6. Bills" state="visible" r:id="rId9"/>
  </sheets>
  <calcPr calcId="171027"/>
</workbook>
</file>

<file path=xl/sharedStrings.xml><?xml version="1.0" encoding="utf-8"?>
<sst xmlns="http://schemas.openxmlformats.org/spreadsheetml/2006/main" count="4524" uniqueCount="1207">
  <si>
    <t>Are the bills being read correctly?</t>
  </si>
  <si>
    <t>A check on how accurately the computer read our supplier bills</t>
  </si>
  <si>
    <t>What this is about</t>
  </si>
  <si>
    <t>We use a computer program (an AI) to read supplier bills and type up every part on them: the part number, the description and the price. Those typed-up lines feed the parts price reference. If the program misreads a part number or a price, the reference is wrong in a way nobody would notice.</t>
  </si>
  <si>
    <t>To check it, we asked a second, newer AI to read the same bills again, without showing it what the first one wrote. Where the two readings agree, the line is very likely right. Where they disagree, a person needs to look at the bill and decide.</t>
  </si>
  <si>
    <t>What we checked</t>
  </si>
  <si>
    <t>45 bills, 474 part lines in total:</t>
  </si>
  <si>
    <t>•  30 bills picked at random (216 lines). These give a fair picture of how accurate the reading is overall.</t>
  </si>
  <si>
    <t>•  15 hand-picked bills (258 lines) that automatic checks had flagged as suspicious. These are for finding problems, so they are kept out of the overall accuracy figure.</t>
  </si>
  <si>
    <t>What we found so far</t>
  </si>
  <si>
    <t>Lines where both readings agree</t>
  </si>
  <si>
    <t>209 of 216 random lines (96.8%)</t>
  </si>
  <si>
    <t>453 of 474 across all bills (95.6%).</t>
  </si>
  <si>
    <t>Prices</t>
  </si>
  <si>
    <t>No differences</t>
  </si>
  <si>
    <t>Both readings gave the same price on every line we could compare. This is the most important result: prices drive the benchmark.</t>
  </si>
  <si>
    <t>Part numbers</t>
  </si>
  <si>
    <t>13 lines differ</t>
  </si>
  <si>
    <t>7 of them in the random bills. Often a single look-alike character (8 vs B, 1 vs I, 6 vs 0). These need a person to check (sheet 2).</t>
  </si>
  <si>
    <t>Items the second reading could not find</t>
  </si>
  <si>
    <t>8 lines</t>
  </si>
  <si>
    <t>All on bill B32, a cropped screenshot. Some of its items may be cut off the image, and 3 look like the same item recorded twice.</t>
  </si>
  <si>
    <t>Other things to check</t>
  </si>
  <si>
    <t>3</t>
  </si>
  <si>
    <t>Bill numbers that differ, and items the first reading may have missed.</t>
  </si>
  <si>
    <t>Cost of the second reading</t>
  </si>
  <si>
    <t>US$1.74</t>
  </si>
  <si>
    <t>One-off cost of re-reading all 45 bills.</t>
  </si>
  <si>
    <t>Important: agreement is good news, but it is not proof. Both AIs are made by the same company and can occasionally make the same mistake on a blurry character. That is why a person checks a small part of the work too (step 2 below).</t>
  </si>
  <si>
    <t>What we need from you  (about 45–60 minutes)</t>
  </si>
  <si>
    <t>Step 1.  Sheet "2. Please check these" (25 rows). For each row, click Open to see the bill, then pick an answer from the drop-down in the yellow column.</t>
  </si>
  <si>
    <t>Step 2.  Sheet "3. Spot check" (34 lines on 5 bills). Type the part number and price you see on the bill. Do this before opening sheet 5, which shows the computers' answers.</t>
  </si>
  <si>
    <t>Step 3.  Sheet "4. Results" fills itself in as you go. When steps 1 and 2 are done, it shows the final accuracy figures.</t>
  </si>
  <si>
    <t>Words used in this file</t>
  </si>
  <si>
    <t>First reading</t>
  </si>
  <si>
    <t>What the original program typed up when the bills were first added. This is what is in the parts price reference today.</t>
  </si>
  <si>
    <t>Second reading</t>
  </si>
  <si>
    <t>The new check: a newer AI (Claude Opus 5.5) reading the same bill again on its own.</t>
  </si>
  <si>
    <t>Part number</t>
  </si>
  <si>
    <t>The manufacturer's code printed on the bill that identifies the exact part (for example 52119-06971).</t>
  </si>
  <si>
    <t>Line / item</t>
  </si>
  <si>
    <t>One row on a bill: one part, with its quantity and price.</t>
  </si>
  <si>
    <t>Random / Hand-picked</t>
  </si>
  <si>
    <t>Random bills give a fair accuracy figure. Hand-picked bills were chosen because they looked suspicious, so they would make accuracy look worse than it is.</t>
  </si>
  <si>
    <t>Spaces and dashes</t>
  </si>
  <si>
    <t>Ignored when comparing part numbers. 52119-06971 and 52119 06971 count as the same.</t>
  </si>
  <si>
    <t>Source: PartsIndex_ocr_check_2026-10-15_opus55.xlsx · parts reference snapshot PIX-335e1802-6b06668c · bills in /home/jason/mm-parts-index/invoices</t>
  </si>
  <si>
    <t>Online look-ups done (15 Oct 2026): for each part-number disagreement on sheet 2, both readings were looked up in the maker's parts catalogue (Amayama for Kia, Mercedes-Benz, Honda and Toyota; web search for Tesla and Mazda). A real part number exists and matches the item; a misread usually does not. The finding and a suggested answer are in the last columns of sheet 2. Please still check the bill and pick the final answer yourself in the yellow column.</t>
  </si>
  <si>
    <t>No.</t>
  </si>
  <si>
    <t>Bill</t>
  </si>
  <si>
    <t>Random or hand-picked</t>
  </si>
  <si>
    <t>Open the bill</t>
  </si>
  <si>
    <t>What to check</t>
  </si>
  <si>
    <t>Item</t>
  </si>
  <si>
    <t>How sure the second reading was</t>
  </si>
  <si>
    <t>Second reading's comment</t>
  </si>
  <si>
    <t>YOUR ANSWER (pick from list)</t>
  </si>
  <si>
    <t>If both are wrong, what is correct?</t>
  </si>
  <si>
    <t>Your notes</t>
  </si>
  <si>
    <t>_kind</t>
  </si>
  <si>
    <t>WHAT THE ONLINE LOOK-UP FOUND</t>
  </si>
  <si>
    <t>SUGGESTED ANSWER (please confirm)</t>
  </si>
  <si>
    <t>Correct value suggested</t>
  </si>
  <si>
    <t>Look-up source</t>
  </si>
  <si>
    <t>B01</t>
  </si>
  <si>
    <t>Random</t>
  </si>
  <si>
    <t>Open</t>
  </si>
  <si>
    <t>The two readings give a different part number. Look at the bill and choose which is right.</t>
  </si>
  <si>
    <t>#4 CLIP</t>
  </si>
  <si>
    <t>KA14205 08 250B</t>
  </si>
  <si>
    <t>KA14206 08 250B</t>
  </si>
  <si>
    <t>Fairly sure</t>
  </si>
  <si>
    <t>Last character could be 'B' or '8'; read as 'B'. Unit price 2.30 x 6 PCS = 13.80.</t>
  </si>
  <si>
    <t/>
  </si>
  <si>
    <t>line</t>
  </si>
  <si>
    <t>First reading 14205-08250B does not exist in the Kia catalogue. Second reading 14206-08250B is a Kia CLIP (S$1).</t>
  </si>
  <si>
    <t>Second reading is right</t>
  </si>
  <si>
    <t>amayama.com</t>
  </si>
  <si>
    <t>#5 STRIP-FR BUMPER</t>
  </si>
  <si>
    <t>KA66570 H8 400</t>
  </si>
  <si>
    <t>KA86570 H8 400</t>
  </si>
  <si>
    <t>Sure</t>
  </si>
  <si>
    <t>First reading 66570-H8400 does not exist. Second reading 86570-H8400 is STRIP-FR BUMPER for Kia Rio / Stonic, matching the bill's description.</t>
  </si>
  <si>
    <t>#6 KA66311 H8 400/PANEL-FENDER,LH</t>
  </si>
  <si>
    <t>KA66311 H8 400</t>
  </si>
  <si>
    <t>KA66311 H8 401</t>
  </si>
  <si>
    <t>Part No. column prints 'KA66311 H8 401', but the description text reads 'KA66311 H8 400/PANEL-FENDER,LH'. The two differ in the final digit.</t>
  </si>
  <si>
    <t>Both numbers exist: 66311-H8400 and 66311-H8401 are both PANEL-FENDER, LH for Kia Rio / Stonic (two revisions of the same part). The second reading says the part-number column prints ...401 while the description text says ...400. Either way it is the same part, so the benchmark is not affected.</t>
  </si>
  <si>
    <t>Can't tell</t>
  </si>
  <si>
    <t>#10 GUARD ASSY-FRONT WHEEL,RH</t>
  </si>
  <si>
    <t>KAB6812 H8 400</t>
  </si>
  <si>
    <t>KA86812 H8 400</t>
  </si>
  <si>
    <t>First reading KAB6812 H8 400 has a letter B where a digit belongs. Second reading 86812-H8400 is GUARD ASSY-FRONT WHEEL, RH for Kia Rio / Stonic, matching the description.</t>
  </si>
  <si>
    <t>B03</t>
  </si>
  <si>
    <t>#3 FR LWR LAT</t>
  </si>
  <si>
    <t>1244341-00-B</t>
  </si>
  <si>
    <t>1044341-00-B</t>
  </si>
  <si>
    <t>Unsure</t>
  </si>
  <si>
    <t>The row is cut off at the bottom of the screenshot, so only the top half of the characters is visible. The part number and price are uncertain. Price may read SGD218.65 but cannot be confirmed. The description is also truncated (FR LWR LAT...).</t>
  </si>
  <si>
    <t>1044341-00 is Tesla Model 3's front lower lateral link (current revision -D), matching 'FR LWR LAT'. First reading 1244341 was not found.</t>
  </si>
  <si>
    <t>service.tesla.com</t>
  </si>
  <si>
    <t>B11</t>
  </si>
  <si>
    <t>The second reading found an item the first reading did not record. Should it have been recorded?  Second reading right = yes, it was missed.  First reading right = no, it does not belong.</t>
  </si>
  <si>
    <t>MOLDING MIDDLE G/UPPER (on page 2, separate invoice 8411268 dated 04/11/2025, not part of invoice 8410969)</t>
  </si>
  <si>
    <t>(not recorded)</t>
  </si>
  <si>
    <t>HD71152-T6A-901 · S$130</t>
  </si>
  <si>
    <t>missed</t>
  </si>
  <si>
    <t>HD71152-T6A-901 is a real Honda part: MOLDING, MIDDLE GRILLE UPPER for the Honda Odyssey (S$177.68). The look-up cannot tell which invoice it belongs to; the second reading says it is on page 2 as a separate invoice (8411268).</t>
  </si>
  <si>
    <t>B17</t>
  </si>
  <si>
    <t>#1 HEADLAMP LH (LED)</t>
  </si>
  <si>
    <t>GSKI-51-041A</t>
  </si>
  <si>
    <t>GSK1-51-041A</t>
  </si>
  <si>
    <t>Pink highlighter mark crosses the part number but all characters remain legible. 'MZ 6 GL' printed below is a vehicle/model note, not part of the part number. Page 2 is a separate invoice (AR202508-09728 dated 23/08/2025, GRF5-51-075A PROTECTOR LH, qty 1, 50.00, subtotal 50.00). It is not listed as a missed line because it belongs to a different bill.</t>
  </si>
  <si>
    <t>Neither GSKI-51-041A nor GSK1-51-041A is listed online (Mazda's '-51-041' means a headlamp). Mazda part-number prefixes use the digit 1 in this position (e.g. BHN2, EH47, KR22), so GSK1 is the likelier reading. Not confirmed.</t>
  </si>
  <si>
    <t>coxmazdaparts.com</t>
  </si>
  <si>
    <t>B18</t>
  </si>
  <si>
    <t>#1 BRACKET</t>
  </si>
  <si>
    <t>1 MBA205 620 34 01</t>
  </si>
  <si>
    <t>MBA205 620 34 01</t>
  </si>
  <si>
    <t>Printed as '1 MBA205 620 34 01' in the PART NO. column. The leading '1' appears to be the line or item sequence number and is excluded. A reviewer should confirm this. LOC 1E-7C.</t>
  </si>
  <si>
    <t>A205 620 34 01 is BRACKET, LEFT for the Mercedes C-Class, matching the description. The leading '1' in the first reading is the quantity column read into the part number.</t>
  </si>
  <si>
    <t>B21</t>
  </si>
  <si>
    <t>The two readings give a different bill number. Look at the bill and choose which is right.</t>
  </si>
  <si>
    <t>Bill number</t>
  </si>
  <si>
    <t>LL10325981</t>
  </si>
  <si>
    <t>LI10325981</t>
  </si>
  <si>
    <t>header</t>
  </si>
  <si>
    <t>Not checked online: bill numbers are not in any parts catalogue.</t>
  </si>
  <si>
    <t>B22</t>
  </si>
  <si>
    <t>EPC-5199563-1</t>
  </si>
  <si>
    <t>5199563</t>
  </si>
  <si>
    <t>B31</t>
  </si>
  <si>
    <t>Hand-picked</t>
  </si>
  <si>
    <t>#1 TIE ROD OUTER ASSY, EA</t>
  </si>
  <si>
    <t>1044341-00-E</t>
  </si>
  <si>
    <t>1044841-00-E</t>
  </si>
  <si>
    <t>The first reading (1044341-00-E) is the number of the front lower lateral link, a different part. The second reading 1044841-00-E is the outer tie rod for Model 3 / Y, matching 'TIE ROD OUTER ASSY'.</t>
  </si>
  <si>
    <t>evannex.com</t>
  </si>
  <si>
    <t>Both readings agree, but this part of the bill is hard to read. Please confirm the part number.</t>
  </si>
  <si>
    <t>#7 ASSEMBLY - FENDER SUPPORT - LEFT HAND</t>
  </si>
  <si>
    <t>1771986-SC-C</t>
  </si>
  <si>
    <t>The part number is heavily obscured by scan noise. Several digits and the final letter are guesses, roughly '17?19?6-SC-?'. The unit price is also obscured; it was taken from the clear line total of 24.82 at qty 1.</t>
  </si>
  <si>
    <t>Both readings say 1771986-SC-C, which does not exist. The left fender support bracket for Model 3 is 1771936-SC-C (right-hand version 1771937), same description and the same S$24.82 price on other bills. So both readings misread a 3 as a 9.</t>
  </si>
  <si>
    <t>Both are wrong</t>
  </si>
  <si>
    <t>1771936-SC-C</t>
  </si>
  <si>
    <t>#8 FRT WHEELLINER ASSY, LH</t>
  </si>
  <si>
    <t>1894553-00-E</t>
  </si>
  <si>
    <t>1504553-00-E</t>
  </si>
  <si>
    <t>The first digits of the part number are obscured by noise; the second and third characters ('50') are a guess. The rest, '4553-00-E', is legible.</t>
  </si>
  <si>
    <t>Neither 1894553-00-E nor 1504553-00-E was found online. Another Tesla bill in this check (B32) records the same item 'FRT WHEEL LINER ASSY, LH' at the same price (S$106.73) as 1694553-00-E, so both readings here may be wrong. Check the bill.</t>
  </si>
  <si>
    <t>#15 FRONT FASCIA BASE UNPAINTED</t>
  </si>
  <si>
    <t>1894314-SC-G</t>
  </si>
  <si>
    <t>1694314-SC-G</t>
  </si>
  <si>
    <t>The second digit could be '6' or '0'. 'SC' is as printed.</t>
  </si>
  <si>
    <t>Neither 1894314-SC-G nor 1694314-SC-G was found online. Check the bill.</t>
  </si>
  <si>
    <t>B32</t>
  </si>
  <si>
    <t>The second reading could not find this item on the bill. Is it really on the bill?  First reading right = it is there.  Second reading right = it is not there.</t>
  </si>
  <si>
    <t>#1 FR LWR COMP LINK ASSY, LH</t>
  </si>
  <si>
    <t>1344354-00-A · S$212.65</t>
  </si>
  <si>
    <t>(not found on the bill)</t>
  </si>
  <si>
    <t>Not visible in this screenshot. The order list is scrolled and earlier rows are cut off above, so this row may be on another screenshot.</t>
  </si>
  <si>
    <t>Not checked online: the question is whether the item is on the bill image, which a catalogue cannot answer.</t>
  </si>
  <si>
    <t>#2 NON-DRIVEN HUB, 147mm FLANGE OD</t>
  </si>
  <si>
    <t>1044126-00-C · S$233.64</t>
  </si>
  <si>
    <t>Not visible in this screenshot. The order list is scrolled and earlier rows are cut off above.</t>
  </si>
  <si>
    <t>#3 18" GLIDER WHEEL COVER, MODEL 3</t>
  </si>
  <si>
    <t>1344231-00-C · S$60.19</t>
  </si>
  <si>
    <t>#4 WHEEL, 18X8.5J ET38, GLIDER</t>
  </si>
  <si>
    <t>1344221-00-B · S$455.09</t>
  </si>
  <si>
    <t>#5 ASSEMBLY - FENDER SUPPORT - LEFT HAND</t>
  </si>
  <si>
    <t>1771936-SC-C · S$24.82</t>
  </si>
  <si>
    <t>Only the fragment 'LEFT HAND' is visible at the top edge, possibly the end of this description. The part number and price are cut off and cannot be verified.</t>
  </si>
  <si>
    <t>#9 FRT WHEEL LINER ASSY, LH</t>
  </si>
  <si>
    <t>1694553-00-E · S$106.73</t>
  </si>
  <si>
    <t>Duplicate of line 6. Only one such row appears on the document, likely double-counted from overlapping screenshots.</t>
  </si>
  <si>
    <t>#10 ASSEMBLY - FENDER - LEFT HAND</t>
  </si>
  <si>
    <t>1714884-EC-D · S$436.29</t>
  </si>
  <si>
    <t>Duplicate of line 7. Only one such row appears on the document, likely double-counted from overlapping screenshots.</t>
  </si>
  <si>
    <t>#11 HEADLAMP ASY ECE, LH</t>
  </si>
  <si>
    <t>1760888-00-F · S$1741</t>
  </si>
  <si>
    <t>Duplicate of line 8. Only one such row appears on the document, likely double-counted from overlapping screenshots.</t>
  </si>
  <si>
    <t>B34</t>
  </si>
  <si>
    <t>#15 RAD FAN COWLING 10"</t>
  </si>
  <si>
    <t>16711-30082</t>
  </si>
  <si>
    <t>T16711-30082</t>
  </si>
  <si>
    <t>A handwritten tick mark overlaps the first character. It reads like 'I6711' and is taken as 'T' to be consistent with the other T-prefixed stock IDs. Verify.</t>
  </si>
  <si>
    <t>Both readings are the same Toyota part: 16711-30082 is SHROUD, FAN for the Hiace (S$103.50). The second reading's leading 'T' is from a tick mark over the first character; the printed number has no prefix. The benchmark is not affected either way.</t>
  </si>
  <si>
    <t>First reading is right</t>
  </si>
  <si>
    <t>B42</t>
  </si>
  <si>
    <t>#2 HINGE BONNET LH</t>
  </si>
  <si>
    <t>MBA253 880 02 28</t>
  </si>
  <si>
    <t>MBA253 880 01 28</t>
  </si>
  <si>
    <t>First reading A253 880 02 28 is HINGE, RIGHT. Second reading A253 880 01 28 is HINGE, LEFT (both Mercedes GLC). The bill says 'HINGE BONNET LH', so the second reading matches.</t>
  </si>
  <si>
    <t>B44</t>
  </si>
  <si>
    <t>#56 FR.CRASH SENSOR(R&amp;L)</t>
  </si>
  <si>
    <t>H77930-T7A-J01</t>
  </si>
  <si>
    <t>H77930-T5A-J01</t>
  </si>
  <si>
    <t>Second reading 77930-T5A-J01 is SENSOR ASSY, FR. CRASH (Honda Fit / Jazz / HR-V / City and others). First reading 77930-T7A-J01 is not listed anywhere (T7A-C11 exists for the HR-V, but not -J01).</t>
  </si>
  <si>
    <t>Type what you see on the bill. Please don't look at sheet 5 first: seeing the computers' answers makes it easy to agree with them by mistake.</t>
  </si>
  <si>
    <t>Item no.</t>
  </si>
  <si>
    <t>Description</t>
  </si>
  <si>
    <t>Qty</t>
  </si>
  <si>
    <t>Line total (S$)</t>
  </si>
  <si>
    <t>TYPE the part number you see</t>
  </si>
  <si>
    <t>TYPE the unit price you see (S$)</t>
  </si>
  <si>
    <t>Matches second reading? (part no.)</t>
  </si>
  <si>
    <t>Matches second reading? (price)</t>
  </si>
  <si>
    <t>Matches first reading? (part no.)</t>
  </si>
  <si>
    <t>Matches first reading? (price)</t>
  </si>
  <si>
    <t>_2nd pn</t>
  </si>
  <si>
    <t>_2nd unit</t>
  </si>
  <si>
    <t>_1st pn</t>
  </si>
  <si>
    <t>_1st unit</t>
  </si>
  <si>
    <t>B04</t>
  </si>
  <si>
    <t>RADIATOR</t>
  </si>
  <si>
    <t>1769999</t>
  </si>
  <si>
    <t>FRAME</t>
  </si>
  <si>
    <t>2121771</t>
  </si>
  <si>
    <t>CHARGE AIR COOLER</t>
  </si>
  <si>
    <t>1871265</t>
  </si>
  <si>
    <t>FAN COVER</t>
  </si>
  <si>
    <t>2004491</t>
  </si>
  <si>
    <t>HOSE</t>
  </si>
  <si>
    <t>2064249</t>
  </si>
  <si>
    <t>VIBRATION INSULATOR</t>
  </si>
  <si>
    <t>1363634</t>
  </si>
  <si>
    <t>2188551</t>
  </si>
  <si>
    <t>FLANGE SCREW</t>
  </si>
  <si>
    <t>0812516</t>
  </si>
  <si>
    <t>COOLING PACKAGE</t>
  </si>
  <si>
    <t>2379981</t>
  </si>
  <si>
    <t>0812519</t>
  </si>
  <si>
    <t>BRACKET</t>
  </si>
  <si>
    <t>2051971</t>
  </si>
  <si>
    <t>WASHER</t>
  </si>
  <si>
    <t>0394714</t>
  </si>
  <si>
    <t>CROSSMEMBE</t>
  </si>
  <si>
    <t>2030534</t>
  </si>
  <si>
    <t>B08</t>
  </si>
  <si>
    <t>FRT GRILLE OUTER</t>
  </si>
  <si>
    <t>B13416784-00</t>
  </si>
  <si>
    <t>FRT BUMPER</t>
  </si>
  <si>
    <t>B13161518-00</t>
  </si>
  <si>
    <t>FRT BUMPER TRIM RH</t>
  </si>
  <si>
    <t>B13345478-00</t>
  </si>
  <si>
    <t>FRT BUMPER SPOILER LOWEST</t>
  </si>
  <si>
    <t>B13164987-00</t>
  </si>
  <si>
    <t>FENDER FR RH</t>
  </si>
  <si>
    <t>B13777446-00</t>
  </si>
  <si>
    <t>FENDER FR ARCH RH</t>
  </si>
  <si>
    <t>B13186506-00</t>
  </si>
  <si>
    <t>FRT BUMPER SPOILER (MATT)</t>
  </si>
  <si>
    <t>B13161539-00</t>
  </si>
  <si>
    <t>FRT FENDER EMBLEM RH</t>
  </si>
  <si>
    <t>B13255211-00</t>
  </si>
  <si>
    <t>FRT BUMPER LOWER TRIM SPRAY</t>
  </si>
  <si>
    <t>B13161565-00</t>
  </si>
  <si>
    <t>SUPPORT PANEL</t>
  </si>
  <si>
    <t>B13443023-00</t>
  </si>
  <si>
    <t>FRT SUPPOR TOP GARNISH</t>
  </si>
  <si>
    <t>B13496355-00</t>
  </si>
  <si>
    <t>FRT BUMPER TOW COVER</t>
  </si>
  <si>
    <t>B13161596-00</t>
  </si>
  <si>
    <t>AIR DUCT</t>
  </si>
  <si>
    <t>B15480080-00</t>
  </si>
  <si>
    <t>HEADLAMP RH</t>
  </si>
  <si>
    <t>B13352157-00</t>
  </si>
  <si>
    <t>FENDER LINER FR RH</t>
  </si>
  <si>
    <t>B13222127-00</t>
  </si>
  <si>
    <t>B09</t>
  </si>
  <si>
    <t>CLIP - SIDE SILL MOULDING MTG</t>
  </si>
  <si>
    <t>HY87758-G2000</t>
  </si>
  <si>
    <t>CAP ASSY- WHEEL HUB</t>
  </si>
  <si>
    <t>HY52960-G2000</t>
  </si>
  <si>
    <t>B14</t>
  </si>
  <si>
    <t>RR BOOT TRIM BOARD</t>
  </si>
  <si>
    <t>T67751-26080</t>
  </si>
  <si>
    <t>B19</t>
  </si>
  <si>
    <t>S57702-SJ000</t>
  </si>
  <si>
    <t>ENERGY ABSORBER FRT BUMPER</t>
  </si>
  <si>
    <t>S57705-SJ010</t>
  </si>
  <si>
    <t>NOZZLE-LAMP WASHER LH</t>
  </si>
  <si>
    <t>S86636-SJ110</t>
  </si>
  <si>
    <t>Progress</t>
  </si>
  <si>
    <t>Rows answered on sheet 2</t>
  </si>
  <si>
    <t>Step 1</t>
  </si>
  <si>
    <t>Lines typed on sheet 3</t>
  </si>
  <si>
    <t>Step 2</t>
  </si>
  <si>
    <t>The answer: how accurate is the first reading?</t>
  </si>
  <si>
    <t>Mistakes found in the random bills</t>
  </si>
  <si>
    <t>Rows on sheet 2 from random bills where you answered "Second reading is right" or "Both are wrong".</t>
  </si>
  <si>
    <t>Lines read correctly (random bills)</t>
  </si>
  <si>
    <t>Out of 216 random lines. This is the main figure to report, once sheet 2 is finished.</t>
  </si>
  <si>
    <t>In plain words</t>
  </si>
  <si>
    <t>Items the first reading missed</t>
  </si>
  <si>
    <t>Items on a bill that never made it into the reference.</t>
  </si>
  <si>
    <t>Bill numbers read wrongly</t>
  </si>
  <si>
    <t>Can we trust the second reading?  (from the spot check)</t>
  </si>
  <si>
    <t>Second reading wrong on part number</t>
  </si>
  <si>
    <t>How often what you typed differs from the second reading. Should be close to 0%.</t>
  </si>
  <si>
    <t>Second reading wrong on price</t>
  </si>
  <si>
    <t>Should be close to 0%.</t>
  </si>
  <si>
    <t>First reading wrong on part number</t>
  </si>
  <si>
    <t>A small direct check of the first reading, as a cross-check on the main figure.</t>
  </si>
  <si>
    <t>First reading wrong on price</t>
  </si>
  <si>
    <t>What it means</t>
  </si>
  <si>
    <t>Every line we checked, with both readings side by side. Please finish the spot check (sheet 3) before looking here.</t>
  </si>
  <si>
    <t>Part no. — first reading</t>
  </si>
  <si>
    <t>Part no. — second reading</t>
  </si>
  <si>
    <t>Price — first reading (S$)</t>
  </si>
  <si>
    <t>Price — second reading (S$)</t>
  </si>
  <si>
    <t>Result</t>
  </si>
  <si>
    <t>LAMP ASSY-HEAD,LH</t>
  </si>
  <si>
    <t>KA92101 H8 510</t>
  </si>
  <si>
    <t>Same</t>
  </si>
  <si>
    <t>LAMP ASSY-HEAD,RH</t>
  </si>
  <si>
    <t>KA92102 H8 510</t>
  </si>
  <si>
    <t>COVER-RADIATOR GRILLE UPR</t>
  </si>
  <si>
    <t>KA86353 H8 400</t>
  </si>
  <si>
    <t>CLIP</t>
  </si>
  <si>
    <t>Part no. differs</t>
  </si>
  <si>
    <t>STRIP-FR BUMPER</t>
  </si>
  <si>
    <t>KA66311 H8 400/PANEL-FENDER,LH</t>
  </si>
  <si>
    <t>PANEL-FENDER,RH</t>
  </si>
  <si>
    <t>KA66321 H8 401</t>
  </si>
  <si>
    <t>GARNISH ASSY-FNDR SIDE,LH</t>
  </si>
  <si>
    <t>KA87711 H8 400</t>
  </si>
  <si>
    <t>GARNISH ASSY-FNDR SIDE,RH</t>
  </si>
  <si>
    <t>KA87712 H8 400</t>
  </si>
  <si>
    <t>GUARD ASSY-FRONT WHEEL,RH</t>
  </si>
  <si>
    <t>B02</t>
  </si>
  <si>
    <t>FRT HEAD LAMP LH 14" ( ASSY ) 2.0</t>
  </si>
  <si>
    <t>N26060-4EA0B</t>
  </si>
  <si>
    <t>FRONT T-BADGE, SATIN CHROMING</t>
  </si>
  <si>
    <t>1694511-00-C</t>
  </si>
  <si>
    <t>TIE ROD OUTER ASSY, EA</t>
  </si>
  <si>
    <t>FR LWR LAT</t>
  </si>
  <si>
    <t>B05</t>
  </si>
  <si>
    <t>FRONT BONNET</t>
  </si>
  <si>
    <t>9820422880</t>
  </si>
  <si>
    <t>FRONT BONNET HINGE LHS</t>
  </si>
  <si>
    <t>9816485080</t>
  </si>
  <si>
    <t>FRONT BONNET HINGE RHS</t>
  </si>
  <si>
    <t>9816484780</t>
  </si>
  <si>
    <t>FRONT BUMPER UPPER</t>
  </si>
  <si>
    <t>1632657980</t>
  </si>
  <si>
    <t>FRONT BUMPER LOWER LHS</t>
  </si>
  <si>
    <t>1632658480</t>
  </si>
  <si>
    <t>FRONT BUMPER LOWER RHS</t>
  </si>
  <si>
    <t>1632658380</t>
  </si>
  <si>
    <t>FRONT BUMPER TOWING COVER</t>
  </si>
  <si>
    <t>1632658080</t>
  </si>
  <si>
    <t>FRONT FOGLIGHT GARNISH RHS</t>
  </si>
  <si>
    <t>1632658280</t>
  </si>
  <si>
    <t>FRONT FOG LIGHT RHS</t>
  </si>
  <si>
    <t>9670955280</t>
  </si>
  <si>
    <t>FRONT FENDER RHS</t>
  </si>
  <si>
    <t>9816482380</t>
  </si>
  <si>
    <t>FRONT REINFORCEMENT</t>
  </si>
  <si>
    <t>9846639180</t>
  </si>
  <si>
    <t>FRONT FENDER INNER SHIELD RHS</t>
  </si>
  <si>
    <t>9817398480</t>
  </si>
  <si>
    <t>FRONT BONNET LOCK</t>
  </si>
  <si>
    <t>9808870280</t>
  </si>
  <si>
    <t>FRONT LOWER GRILLE</t>
  </si>
  <si>
    <t>9818196480</t>
  </si>
  <si>
    <t>FRONT BUMPER RETAINER LHS</t>
  </si>
  <si>
    <t>9821847480</t>
  </si>
  <si>
    <t>FRONT BUMPER RETAINER RHS</t>
  </si>
  <si>
    <t>9821847180</t>
  </si>
  <si>
    <t>FRONT HEADLIGHT RHS</t>
  </si>
  <si>
    <t>1634153780</t>
  </si>
  <si>
    <t>FRONT SUPPORT PANEL</t>
  </si>
  <si>
    <t>9830512680</t>
  </si>
  <si>
    <t>B06</t>
  </si>
  <si>
    <t>T81145-78170</t>
  </si>
  <si>
    <t>FR BUMPER</t>
  </si>
  <si>
    <t>52119-78943</t>
  </si>
  <si>
    <t>BUMPER RETAINER FR RH</t>
  </si>
  <si>
    <t>T52535-78010</t>
  </si>
  <si>
    <t>FR FENDER RH</t>
  </si>
  <si>
    <t>T53811-78010</t>
  </si>
  <si>
    <t>FENDER MLDING RH</t>
  </si>
  <si>
    <t>T75601-78010</t>
  </si>
  <si>
    <t>PAD,FR.BUMPER GUARD RH</t>
  </si>
  <si>
    <t>T52447-78010</t>
  </si>
  <si>
    <t>BRACE,FR.FENDER TO APRON RH</t>
  </si>
  <si>
    <t>T53803-78010</t>
  </si>
  <si>
    <t>B07</t>
  </si>
  <si>
    <t>H/LAMP AHL+HID LH</t>
  </si>
  <si>
    <t>63117271905</t>
  </si>
  <si>
    <t>H/LAMP NOZZLE LH</t>
  </si>
  <si>
    <t>61677377667</t>
  </si>
  <si>
    <t>B10</t>
  </si>
  <si>
    <t>FRT BUMPER LOWER GRILLE MLD</t>
  </si>
  <si>
    <t>5G0853765A 041</t>
  </si>
  <si>
    <t>FACE FR BUMPER</t>
  </si>
  <si>
    <t>HD04711-T6A-900ZZ</t>
  </si>
  <si>
    <t>BEAM R FR B/UPPER</t>
  </si>
  <si>
    <t>HD71140-T6A-003</t>
  </si>
  <si>
    <t>CLIP, BUMPER</t>
  </si>
  <si>
    <t>HD91505-TM8-003A</t>
  </si>
  <si>
    <t>BASE MIDDLE GRILLE</t>
  </si>
  <si>
    <t>HD71151-T6A-901</t>
  </si>
  <si>
    <t>MOLDING, MIDDLE GRILLE (MIDDLE)</t>
  </si>
  <si>
    <t>HD71153-T6A-901</t>
  </si>
  <si>
    <t>MOLDING R MIDDLE G/LOWER</t>
  </si>
  <si>
    <t>HD71154-T6A-901</t>
  </si>
  <si>
    <t>B12</t>
  </si>
  <si>
    <t>FRT LH FENDER SIGNAL LAMP</t>
  </si>
  <si>
    <t>LH SIDE MIRROR</t>
  </si>
  <si>
    <t>FRT LH DOOR PROTECTOR</t>
  </si>
  <si>
    <t>REAR LH DOOR PROTECTOR</t>
  </si>
  <si>
    <t>DOOR PROTECTOR CLIPS</t>
  </si>
  <si>
    <t>FRT BUMPER CLIPS</t>
  </si>
  <si>
    <t>B13</t>
  </si>
  <si>
    <t>CLIPS</t>
  </si>
  <si>
    <t>B15</t>
  </si>
  <si>
    <t>HOOD</t>
  </si>
  <si>
    <t>J5900A623</t>
  </si>
  <si>
    <t>INSULATOR,HOOD (*)</t>
  </si>
  <si>
    <t>J5915A302</t>
  </si>
  <si>
    <t>CLIP,HOOD INSULATOR</t>
  </si>
  <si>
    <t>JMU001282</t>
  </si>
  <si>
    <t>HINGE,HOOD,LH(*)</t>
  </si>
  <si>
    <t>J5905A157</t>
  </si>
  <si>
    <t>HINGE,HOOD,RH(*)</t>
  </si>
  <si>
    <t>J5905A158</t>
  </si>
  <si>
    <t>LATCH,HOOD(*)</t>
  </si>
  <si>
    <t>J5908A186</t>
  </si>
  <si>
    <t>*GARNISH,FR DECK</t>
  </si>
  <si>
    <t>J7405A471</t>
  </si>
  <si>
    <t>COVER,FR DECK,LH</t>
  </si>
  <si>
    <t>J7405A555</t>
  </si>
  <si>
    <t>GRILLE,RADIATOR (*)</t>
  </si>
  <si>
    <t>J6402A377</t>
  </si>
  <si>
    <t>MARK,THREE-DIA(*)</t>
  </si>
  <si>
    <t>J7415A603</t>
  </si>
  <si>
    <t>FACE,FR BUMPER(*)</t>
  </si>
  <si>
    <t>J6400H293</t>
  </si>
  <si>
    <t>BRACKET,FR BUMPER SIDE,LH</t>
  </si>
  <si>
    <t>J6400F221</t>
  </si>
  <si>
    <t>CLIP,FR BUMPER, CLIP SPLASH SHIELD</t>
  </si>
  <si>
    <t>JMR288150</t>
  </si>
  <si>
    <t>GRILLE,FR UNDER(*)</t>
  </si>
  <si>
    <t>J6402A268</t>
  </si>
  <si>
    <t>*PANEL,HEADLAMP SUPPORT,UPR</t>
  </si>
  <si>
    <t>J5256B985</t>
  </si>
  <si>
    <t>PANEL,AIR GUIDE(*)</t>
  </si>
  <si>
    <t>J1360A090</t>
  </si>
  <si>
    <t>HEADLAMP ASSY,LH(*)</t>
  </si>
  <si>
    <t>J8301C543</t>
  </si>
  <si>
    <t>PANEL ASSY,FR END(*)</t>
  </si>
  <si>
    <t>J5256B865</t>
  </si>
  <si>
    <t>CONDENSER ASSY,A/C REFRIGERANT</t>
  </si>
  <si>
    <t>J7812A339</t>
  </si>
  <si>
    <t>RADIATOR ASSY</t>
  </si>
  <si>
    <t>J1350A670</t>
  </si>
  <si>
    <t>SHROUD,COOLING FAN(*)</t>
  </si>
  <si>
    <t>J1355A278</t>
  </si>
  <si>
    <t>MOTOR,COOLING FAN,LH</t>
  </si>
  <si>
    <t>J1355A279</t>
  </si>
  <si>
    <t>FAN,COOLING,L(*)</t>
  </si>
  <si>
    <t>J1355A280</t>
  </si>
  <si>
    <t>TANK ASSY,RADIATOR CONDENSOR(*)</t>
  </si>
  <si>
    <t>J1375A209</t>
  </si>
  <si>
    <t>PANEL,AIR GUIDE,LH</t>
  </si>
  <si>
    <t>J5379A473</t>
  </si>
  <si>
    <t>*SEAT,BATTERY</t>
  </si>
  <si>
    <t>J8201A191</t>
  </si>
  <si>
    <t>COVER,RELAY BOX(*) J8565A459</t>
  </si>
  <si>
    <t>J8565A479</t>
  </si>
  <si>
    <t>*BOX ASSY,RELAY</t>
  </si>
  <si>
    <t>J8565A349</t>
  </si>
  <si>
    <t>WHEELHOUSE,FR INR LH</t>
  </si>
  <si>
    <t>J5220L593</t>
  </si>
  <si>
    <t>FENDER,FR LH(*)</t>
  </si>
  <si>
    <t>J5220H941</t>
  </si>
  <si>
    <t>SHIELD,FR WHEELHOUSE,LH(*)</t>
  </si>
  <si>
    <t>J5370B889</t>
  </si>
  <si>
    <t>JMU488006</t>
  </si>
  <si>
    <t>GARNISH,FR PILLAR,LH</t>
  </si>
  <si>
    <t>J7405A565</t>
  </si>
  <si>
    <t>MARK</t>
  </si>
  <si>
    <t>ECO EMBLEM</t>
  </si>
  <si>
    <t>GARNISH,FR FENDER</t>
  </si>
  <si>
    <t>J7405A646</t>
  </si>
  <si>
    <t>*STRUT,FR SUSP</t>
  </si>
  <si>
    <t>J4060A589</t>
  </si>
  <si>
    <t>KNUCKLE,LH</t>
  </si>
  <si>
    <t>J3870A115</t>
  </si>
  <si>
    <t>*BEARING,FR WHEEL HUB (J3885A023)</t>
  </si>
  <si>
    <t>J3885A039</t>
  </si>
  <si>
    <t>ARM ASSY,FR SUSP,LWR LH(*)</t>
  </si>
  <si>
    <t>J4013A309</t>
  </si>
  <si>
    <t>LAMP ASSY,FOG,FR</t>
  </si>
  <si>
    <t>J8321A545</t>
  </si>
  <si>
    <t>GARNISH,FR BUMPER,LH(*)</t>
  </si>
  <si>
    <t>J6402A273</t>
  </si>
  <si>
    <t>HOSE,RADIATOR,LWR(*)</t>
  </si>
  <si>
    <t>J1370A424</t>
  </si>
  <si>
    <t>B16</t>
  </si>
  <si>
    <t>5E0807221AA</t>
  </si>
  <si>
    <t>FRONT BUMPER SIDE GRILLE LH</t>
  </si>
  <si>
    <t>5E0807681H 9B9</t>
  </si>
  <si>
    <t>FRT BUMPER GRILLE TRIM LH</t>
  </si>
  <si>
    <t>5E0853793 041</t>
  </si>
  <si>
    <t>SENSOR CORNER LH</t>
  </si>
  <si>
    <t>5Q0919275C GRU</t>
  </si>
  <si>
    <t>FRT FENDER LH</t>
  </si>
  <si>
    <t>5E0821105C</t>
  </si>
  <si>
    <t>FRT FENDER COWLING LH</t>
  </si>
  <si>
    <t>5E0809957K</t>
  </si>
  <si>
    <t>HEADLAMP LH</t>
  </si>
  <si>
    <t>5E2941015E</t>
  </si>
  <si>
    <t>FRT FENDER BKT LH</t>
  </si>
  <si>
    <t>5E2821353</t>
  </si>
  <si>
    <t>HEADLAMP LH (LED)</t>
  </si>
  <si>
    <t>B20</t>
  </si>
  <si>
    <t>DUCT-EXTENSION</t>
  </si>
  <si>
    <t>A28212-H8000</t>
  </si>
  <si>
    <t>RESERVOIR &amp; PUMP ASSY-WASHER</t>
  </si>
  <si>
    <t>A98610-H8000</t>
  </si>
  <si>
    <t>BRACKET ASSY-FENDER &amp; BPR MTG</t>
  </si>
  <si>
    <t>A64587-H8400</t>
  </si>
  <si>
    <t>CLIP-MOUNTING</t>
  </si>
  <si>
    <t>A92173-0U000</t>
  </si>
  <si>
    <t>CAP WHEEL</t>
  </si>
  <si>
    <t>A52960-H8200</t>
  </si>
  <si>
    <t>FENDER BKT LH</t>
  </si>
  <si>
    <t>A64577-H8400</t>
  </si>
  <si>
    <t>BONNET</t>
  </si>
  <si>
    <t>NF510M-5RYMA</t>
  </si>
  <si>
    <t>HEAD LAMP ASSY LH (5RY2B)</t>
  </si>
  <si>
    <t>N26060-5RY1B</t>
  </si>
  <si>
    <t>FRT BUMPER MLDG LH</t>
  </si>
  <si>
    <t>N62087-5RY0A</t>
  </si>
  <si>
    <t>FRT BUMPER GROTA</t>
  </si>
  <si>
    <t>N62022-5RY0H</t>
  </si>
  <si>
    <t>FOG LAMP CVR LH</t>
  </si>
  <si>
    <t>N62253-5RY0A</t>
  </si>
  <si>
    <t>BONNET HINGE RH</t>
  </si>
  <si>
    <t>N65400-5RB0A</t>
  </si>
  <si>
    <t>BONNET HINGE LH</t>
  </si>
  <si>
    <t>N65401-5RB0A</t>
  </si>
  <si>
    <t>BONNET INSULATOR CLIP (FS846-30F00)</t>
  </si>
  <si>
    <t>N65846-30F00</t>
  </si>
  <si>
    <t>RAD GRILLE</t>
  </si>
  <si>
    <t>N62310-5RY5A</t>
  </si>
  <si>
    <t>N01553-1TT0A</t>
  </si>
  <si>
    <t>FRT BUMPER SD BKT LH</t>
  </si>
  <si>
    <t>N62225-5RY0A</t>
  </si>
  <si>
    <t>FRT BUMPER SPONGE</t>
  </si>
  <si>
    <t>N62090-5RY0A</t>
  </si>
  <si>
    <t>F SUPPORT TOP COWLING</t>
  </si>
  <si>
    <t>N62660-5RY0A</t>
  </si>
  <si>
    <t>RAD GRILLE LOGO</t>
  </si>
  <si>
    <t>N62890-7FW0A</t>
  </si>
  <si>
    <t>EU FRT License Plate Bracket, Highland</t>
  </si>
  <si>
    <t>1694549-00-E</t>
  </si>
  <si>
    <t>HEADLAMP ASY ECE, LH</t>
  </si>
  <si>
    <t>1760888-00-F</t>
  </si>
  <si>
    <t>1R SEATBELT, RH, BLK, CN</t>
  </si>
  <si>
    <t>1857706-C1-E</t>
  </si>
  <si>
    <t>1R SEATBELT, LH, BLK, CN</t>
  </si>
  <si>
    <t>1857705-C1-D</t>
  </si>
  <si>
    <t>SEAT BELT LAP PRETENSIONER, RH, CN</t>
  </si>
  <si>
    <t>1857606-C1-B</t>
  </si>
  <si>
    <t>SEAT BELT LAP PRETENSIONER, LH, CN</t>
  </si>
  <si>
    <t>1857605-C1-B</t>
  </si>
  <si>
    <t>Ped Pro Pressure Tube Sensor (PTS)</t>
  </si>
  <si>
    <t>1735514-00-A</t>
  </si>
  <si>
    <t>B23</t>
  </si>
  <si>
    <t>LHS rear last compartment door</t>
  </si>
  <si>
    <t>LHS rear last second compartment door</t>
  </si>
  <si>
    <t>B24</t>
  </si>
  <si>
    <t>BOOT LAMP RH</t>
  </si>
  <si>
    <t>T81580-33470</t>
  </si>
  <si>
    <t>TAILLIGHT UNIT RH</t>
  </si>
  <si>
    <t>T81551-33590</t>
  </si>
  <si>
    <t>RR BUMPER</t>
  </si>
  <si>
    <t>T52159-33979</t>
  </si>
  <si>
    <t>AIR VENT</t>
  </si>
  <si>
    <t>T62940-30150</t>
  </si>
  <si>
    <t>TAILLAMP PANEL RH</t>
  </si>
  <si>
    <t>T61697-33120</t>
  </si>
  <si>
    <t>RR WINDSCREEN MLDG</t>
  </si>
  <si>
    <t>T75573-33090</t>
  </si>
  <si>
    <t>RR FENDER RH</t>
  </si>
  <si>
    <t>T61601-33420</t>
  </si>
  <si>
    <t>RR BPER CTR LOWER</t>
  </si>
  <si>
    <t>T52105-33020</t>
  </si>
  <si>
    <t>RR BPER SUPP RH</t>
  </si>
  <si>
    <t>T52157-33040</t>
  </si>
  <si>
    <t>RR RET RH TAILLAMP</t>
  </si>
  <si>
    <t>T52562-33070</t>
  </si>
  <si>
    <t>REAR BUMPER REFLECTOR RH</t>
  </si>
  <si>
    <t>T81910-33040</t>
  </si>
  <si>
    <t>EMBLEM</t>
  </si>
  <si>
    <t>T90975-02154</t>
  </si>
  <si>
    <t>RR EMBLEM(LEXUS)</t>
  </si>
  <si>
    <t>T75447-33200</t>
  </si>
  <si>
    <t>LOGO ES250</t>
  </si>
  <si>
    <t>T75442-33500</t>
  </si>
  <si>
    <t>CLIP BUMPER</t>
  </si>
  <si>
    <t>T52161-16010</t>
  </si>
  <si>
    <t>BLIND SPOT MONITOR BKT LH</t>
  </si>
  <si>
    <t>T88173-33040</t>
  </si>
  <si>
    <t>BOOT SIDE COMPARTMENT BOX RH</t>
  </si>
  <si>
    <t>T62597-33020</t>
  </si>
  <si>
    <t>B25</t>
  </si>
  <si>
    <t>FRT BUMPER (PDC&amp;S5DLA)</t>
  </si>
  <si>
    <t>51118050635</t>
  </si>
  <si>
    <t>SPACER LH</t>
  </si>
  <si>
    <t>51117207931</t>
  </si>
  <si>
    <t>B26</t>
  </si>
  <si>
    <t>RIM</t>
  </si>
  <si>
    <t>B13447345-00</t>
  </si>
  <si>
    <t>B13495543-00</t>
  </si>
  <si>
    <t>DOOR RR RH</t>
  </si>
  <si>
    <t>B13777458-00</t>
  </si>
  <si>
    <t>REAR FENDER ARCH RH</t>
  </si>
  <si>
    <t>B13186508-00</t>
  </si>
  <si>
    <t>B27</t>
  </si>
  <si>
    <t>HY86510-F2000K</t>
  </si>
  <si>
    <t>RETAINER.F BUMPER LH</t>
  </si>
  <si>
    <t>HY86513-F2000</t>
  </si>
  <si>
    <t>RETAINER.F BUMPER RH</t>
  </si>
  <si>
    <t>HY86514-F2000</t>
  </si>
  <si>
    <t>NO PLATE GARNISH</t>
  </si>
  <si>
    <t>HY86519-F2000</t>
  </si>
  <si>
    <t>F BUMPER FOAM</t>
  </si>
  <si>
    <t>HY86520-F2000</t>
  </si>
  <si>
    <t>F,REINFOCEMENT</t>
  </si>
  <si>
    <t>HY64900-F2010OK</t>
  </si>
  <si>
    <t>F BUMPER BKT LH</t>
  </si>
  <si>
    <t>HY86553-F2000</t>
  </si>
  <si>
    <t>F BUMPER BKT RH</t>
  </si>
  <si>
    <t>HY86554-F2000</t>
  </si>
  <si>
    <t>F RAD GRILL UPPER GARNISH</t>
  </si>
  <si>
    <t>HY86356-F2000</t>
  </si>
  <si>
    <t>FRT BONNET</t>
  </si>
  <si>
    <t>HY66400-F2000K</t>
  </si>
  <si>
    <t>FRT BONNET LOCK</t>
  </si>
  <si>
    <t>HY81130-F2910</t>
  </si>
  <si>
    <t>F BONNET HINGE RH</t>
  </si>
  <si>
    <t>HY79120-F2000</t>
  </si>
  <si>
    <t>FRT SUPPORT PANEL</t>
  </si>
  <si>
    <t>HY64101-F2000K</t>
  </si>
  <si>
    <t>FRT HEADLAMP LH</t>
  </si>
  <si>
    <t>HY92101-F2030</t>
  </si>
  <si>
    <t>B28</t>
  </si>
  <si>
    <t>FRT BUMPER GOLF 7 GTI 19</t>
  </si>
  <si>
    <t>5G0807217LTGRU</t>
  </si>
  <si>
    <t>B29</t>
  </si>
  <si>
    <t>RUBBER RR W/HIELD</t>
  </si>
  <si>
    <t>HD73226-SZW-000</t>
  </si>
  <si>
    <t>RUBBER C R W/SHIELD DAM</t>
  </si>
  <si>
    <t>HD73215-T7A-003</t>
  </si>
  <si>
    <t>RUBBER C L W/SHIELD DAM</t>
  </si>
  <si>
    <t>HD73265-T7A-003</t>
  </si>
  <si>
    <t>GARNISH RR LICENSE</t>
  </si>
  <si>
    <t>HD74890-T7A-J13ZF</t>
  </si>
  <si>
    <t>FACE RR BUMPER</t>
  </si>
  <si>
    <t>HD04715-T7A-900ZZ</t>
  </si>
  <si>
    <t>PANEL COMP RR</t>
  </si>
  <si>
    <t>HD66100-T7A-300ZZ</t>
  </si>
  <si>
    <t>B30</t>
  </si>
  <si>
    <t>END PANEL (OUTER)</t>
  </si>
  <si>
    <t>T57069-26120</t>
  </si>
  <si>
    <t>FR LWR LAT LINK ASSY</t>
  </si>
  <si>
    <t>1344341-00-B</t>
  </si>
  <si>
    <t>FR LWR COMP LINK ASSY, LH</t>
  </si>
  <si>
    <t>1344354-00-A</t>
  </si>
  <si>
    <t>WHEEL, 18X8.5J ET38, GLIDER</t>
  </si>
  <si>
    <t>1344221-00-B</t>
  </si>
  <si>
    <t>M3 BRKT ASY - FENDER AND LAMP CPRT LH</t>
  </si>
  <si>
    <t>1100382-S0-A</t>
  </si>
  <si>
    <t>ASSEMBLY - FENDER SUPPORT - LEFT HAND</t>
  </si>
  <si>
    <t>FRT WHEELLINER ASSY, LH</t>
  </si>
  <si>
    <t>ASSEMBLY - FENDER - LEFT HAND</t>
  </si>
  <si>
    <t>1714884-EC-D</t>
  </si>
  <si>
    <t>REINF LH, FRONT FASCIA</t>
  </si>
  <si>
    <t>1711755-00-D</t>
  </si>
  <si>
    <t>ASY BUMPER BEAM</t>
  </si>
  <si>
    <t>1741047-00-F</t>
  </si>
  <si>
    <t>BUMPER BEAM FOAM</t>
  </si>
  <si>
    <t>1741046-00-G</t>
  </si>
  <si>
    <t>BRACKET - FASCIA SIDE TO FDR LH</t>
  </si>
  <si>
    <t>1774268-00-G</t>
  </si>
  <si>
    <t>FRONT FASCIA BASE UNPAINTED</t>
  </si>
  <si>
    <t>Not found on bill</t>
  </si>
  <si>
    <t>NON-DRIVEN HUB, 147mm FLANGE OD</t>
  </si>
  <si>
    <t>1044126-00-C</t>
  </si>
  <si>
    <t>18" GLIDER WHEEL COVER, MODEL 3</t>
  </si>
  <si>
    <t>1344231-00-C</t>
  </si>
  <si>
    <t>FRT WHEEL LINER ASSY, LH</t>
  </si>
  <si>
    <t>1694553-00-E</t>
  </si>
  <si>
    <t>VALANCE, FRT FASCIA , NON-PERFORMANCE</t>
  </si>
  <si>
    <t>1694313-00-L</t>
  </si>
  <si>
    <t>BRACKET- FASCIA FRT CTR TO FDR LH</t>
  </si>
  <si>
    <t>1734299-00-H</t>
  </si>
  <si>
    <t>B33</t>
  </si>
  <si>
    <t>T53301-28160</t>
  </si>
  <si>
    <t>HOOD HINGE RH</t>
  </si>
  <si>
    <t>T53410-28100</t>
  </si>
  <si>
    <t>FRT GRILLE</t>
  </si>
  <si>
    <t>T53101-28600-B0</t>
  </si>
  <si>
    <t>T52119-2R906</t>
  </si>
  <si>
    <t>FR RETAINER RH</t>
  </si>
  <si>
    <t>T52115-28270</t>
  </si>
  <si>
    <t>HEADLAMP UNIT RH</t>
  </si>
  <si>
    <t>T81130-28G40</t>
  </si>
  <si>
    <t>T53205-28200</t>
  </si>
  <si>
    <t>T53811-28180</t>
  </si>
  <si>
    <t>FR LINER RH</t>
  </si>
  <si>
    <t>T53805-28090</t>
  </si>
  <si>
    <t>HEADLAMP CVR RH</t>
  </si>
  <si>
    <t>T53181-28130-A0</t>
  </si>
  <si>
    <t>FR LINER BKT RH</t>
  </si>
  <si>
    <t>T53877-28060</t>
  </si>
  <si>
    <t>CLIP GRILLE</t>
  </si>
  <si>
    <t>CLIP,COWLING</t>
  </si>
  <si>
    <t>T90467-07166</t>
  </si>
  <si>
    <t>FRT BONNET HINGE RH</t>
  </si>
  <si>
    <t>T53410-26041</t>
  </si>
  <si>
    <t>FRT BONNET HINGE LH</t>
  </si>
  <si>
    <t>T53420-26041</t>
  </si>
  <si>
    <t>T53510-26060</t>
  </si>
  <si>
    <t>FRT EMBLEM</t>
  </si>
  <si>
    <t>90975-02086</t>
  </si>
  <si>
    <t>FRT BUMPER LWR GRILLE</t>
  </si>
  <si>
    <t>T53112-26070</t>
  </si>
  <si>
    <t>FRT BUMPER S/RETAINER RH</t>
  </si>
  <si>
    <t>T52115-26210/170</t>
  </si>
  <si>
    <t>FRT BUMPER S/RETAINER LH</t>
  </si>
  <si>
    <t>T52116-26210/170</t>
  </si>
  <si>
    <t>FRT BUMPER REINE</t>
  </si>
  <si>
    <t>T52131-26020/1</t>
  </si>
  <si>
    <t>REINFORCE, FRT CROSS TO FRT PANEL MEMBER, RH</t>
  </si>
  <si>
    <t>T58127-26050</t>
  </si>
  <si>
    <t>REINFORCE, FRT CROSS TO FRT PANEL MEMBER, LH</t>
  </si>
  <si>
    <t>T53036-26020/10</t>
  </si>
  <si>
    <t>FRT DASH PANEL REINFORCEMENT</t>
  </si>
  <si>
    <t>T57109-26021</t>
  </si>
  <si>
    <t>T53802-26021</t>
  </si>
  <si>
    <t>SUPPORT PANEL 11"</t>
  </si>
  <si>
    <t>T53201-26082</t>
  </si>
  <si>
    <t>BRACE PANEL</t>
  </si>
  <si>
    <t>T53209-26130/00</t>
  </si>
  <si>
    <t>RAD FAN COWLING 10"</t>
  </si>
  <si>
    <t>FAN COWLING NO.2</t>
  </si>
  <si>
    <t>T16712-75122</t>
  </si>
  <si>
    <t>AIR INLET DUCT NO.1</t>
  </si>
  <si>
    <t>T17311-30050</t>
  </si>
  <si>
    <t>AIR INLET DUCT NO.2</t>
  </si>
  <si>
    <t>T17312-30021</t>
  </si>
  <si>
    <t>WIPER TANK</t>
  </si>
  <si>
    <t>85315-26100</t>
  </si>
  <si>
    <t>RADIATOR SPARE TANK</t>
  </si>
  <si>
    <t>T16470-75124</t>
  </si>
  <si>
    <t>HOLDER CONNECTOR</t>
  </si>
  <si>
    <t>T82666-26322</t>
  </si>
  <si>
    <t>B35</t>
  </si>
  <si>
    <t>MBA156 880 00 57 64</t>
  </si>
  <si>
    <t>TRIM, BUMPER</t>
  </si>
  <si>
    <t>MBA156 880 37 00 9999</t>
  </si>
  <si>
    <t>COVER, BUMPER AREA</t>
  </si>
  <si>
    <t>MBA156 880 46 00</t>
  </si>
  <si>
    <t>MBA156 880 41 00</t>
  </si>
  <si>
    <t>IMPACT ABSORBER</t>
  </si>
  <si>
    <t>MBA156 885 70 00</t>
  </si>
  <si>
    <t>CARRIER</t>
  </si>
  <si>
    <t>MBA246 620 02 34 64</t>
  </si>
  <si>
    <t>MBA156 880 64 00</t>
  </si>
  <si>
    <t>MERCEDES STAR(GRILLE)</t>
  </si>
  <si>
    <t>MBA000 817 10 16</t>
  </si>
  <si>
    <t>BEAM</t>
  </si>
  <si>
    <t>MBA000 888 00 60</t>
  </si>
  <si>
    <t>MBA156 888 06 00 9040</t>
  </si>
  <si>
    <t>MBA156 888 24 00 9040</t>
  </si>
  <si>
    <t>TS RADIATOR GRILLE</t>
  </si>
  <si>
    <t>MBA156 880 91 01</t>
  </si>
  <si>
    <t>MBA242 505 01 30</t>
  </si>
  <si>
    <t>B36</t>
  </si>
  <si>
    <t>T53410-48140</t>
  </si>
  <si>
    <t>T53510-48230</t>
  </si>
  <si>
    <t>FRT BONNET MLDG</t>
  </si>
  <si>
    <t>T75770-48030</t>
  </si>
  <si>
    <t>RAD GRILLE (PREMIUM)</t>
  </si>
  <si>
    <t>T53101-48B30/720</t>
  </si>
  <si>
    <t>52119-4A914</t>
  </si>
  <si>
    <t>T52535-48040</t>
  </si>
  <si>
    <t>T53112-48150</t>
  </si>
  <si>
    <t>FRT BUMPER LWR SKIRT</t>
  </si>
  <si>
    <t>52411-48020</t>
  </si>
  <si>
    <t>HEAD LAMP LH</t>
  </si>
  <si>
    <t>T81070-48890</t>
  </si>
  <si>
    <t>HEAD LAMP RH</t>
  </si>
  <si>
    <t>T81140-48440</t>
  </si>
  <si>
    <t>FRT BUMPER REINFORCEMENT</t>
  </si>
  <si>
    <t>T52021-48040</t>
  </si>
  <si>
    <t>53208-48090</t>
  </si>
  <si>
    <t>RAD FAN COWLING TOP GUIDE</t>
  </si>
  <si>
    <t>T16712-36030</t>
  </si>
  <si>
    <t>FRT FENDER RH</t>
  </si>
  <si>
    <t>T53811-48210</t>
  </si>
  <si>
    <t>T52614-48041</t>
  </si>
  <si>
    <t>FRT BUMPER SPONGE RH</t>
  </si>
  <si>
    <t>T52611-48170</t>
  </si>
  <si>
    <t>B37</t>
  </si>
  <si>
    <t>4478800100 BONNET</t>
  </si>
  <si>
    <t>A4478808404</t>
  </si>
  <si>
    <t>HINE LH</t>
  </si>
  <si>
    <t>A4478804500</t>
  </si>
  <si>
    <t>HINE RH</t>
  </si>
  <si>
    <t>A4478804600</t>
  </si>
  <si>
    <t>LOWER LOCK</t>
  </si>
  <si>
    <t>A4478800060</t>
  </si>
  <si>
    <t>TOP EYE</t>
  </si>
  <si>
    <t>A4478800160</t>
  </si>
  <si>
    <t>MERCEDES STAR GRILLE</t>
  </si>
  <si>
    <t>X2078170016</t>
  </si>
  <si>
    <t>FRT BUMPER W/GRILLE 220</t>
  </si>
  <si>
    <t>A44788505259B51</t>
  </si>
  <si>
    <t>MOUNTING RAIL FRT LH</t>
  </si>
  <si>
    <t>A4478800612</t>
  </si>
  <si>
    <t>MOUNTING RAIL FRT RH</t>
  </si>
  <si>
    <t>A4478800712</t>
  </si>
  <si>
    <t>0009907906 SCWEW</t>
  </si>
  <si>
    <t>A0009904129</t>
  </si>
  <si>
    <t>FRT SUPPORT CROSS MEMBER</t>
  </si>
  <si>
    <t>A4476200630</t>
  </si>
  <si>
    <t>4479062501 HEADLAMP</t>
  </si>
  <si>
    <t>A4479065400</t>
  </si>
  <si>
    <t>4479062601 HEADLAMP</t>
  </si>
  <si>
    <t>A4479065500</t>
  </si>
  <si>
    <t>FRT HEADLAMP SUPPORT</t>
  </si>
  <si>
    <t>A4478801103</t>
  </si>
  <si>
    <t>FRT CTE BEAM</t>
  </si>
  <si>
    <t>A4478801003</t>
  </si>
  <si>
    <t>BRACKET RH</t>
  </si>
  <si>
    <t>A4478850914</t>
  </si>
  <si>
    <t>BRACKET LH</t>
  </si>
  <si>
    <t>A4478850814</t>
  </si>
  <si>
    <t>CONDENSER</t>
  </si>
  <si>
    <t>A4478350070</t>
  </si>
  <si>
    <t>AUTO COOL</t>
  </si>
  <si>
    <t>A4475000001</t>
  </si>
  <si>
    <t>A44788002169051</t>
  </si>
  <si>
    <t>A44788003169051</t>
  </si>
  <si>
    <t>CONTROL UNIT</t>
  </si>
  <si>
    <t>A4479006002</t>
  </si>
  <si>
    <t>LH AIR DUCT 4475010001</t>
  </si>
  <si>
    <t>A4475050830</t>
  </si>
  <si>
    <t>RH AIR DUCT 4475010001</t>
  </si>
  <si>
    <t>A4475051230</t>
  </si>
  <si>
    <t>RADIATOR LOCK PIN</t>
  </si>
  <si>
    <t>x0009912195</t>
  </si>
  <si>
    <t>2228700689 CONTROL UNIT 4479051804</t>
  </si>
  <si>
    <t>A2228700789</t>
  </si>
  <si>
    <t>B38</t>
  </si>
  <si>
    <t>VALANCE, FRT FASCIA, NON-PERFORMANCE</t>
  </si>
  <si>
    <t>B39</t>
  </si>
  <si>
    <t>RAD GRILLE (INNER)</t>
  </si>
  <si>
    <t>T53112-26090</t>
  </si>
  <si>
    <t>RAD GRILLE (UPPER)</t>
  </si>
  <si>
    <t>53111-26500</t>
  </si>
  <si>
    <t>FRT BUMPER GRILLE LH</t>
  </si>
  <si>
    <t>T53113-26060</t>
  </si>
  <si>
    <t>FRT BUMPER REINF</t>
  </si>
  <si>
    <t>T52131-26020/I</t>
  </si>
  <si>
    <t>T85315-26130</t>
  </si>
  <si>
    <t>A/C CONDENSER</t>
  </si>
  <si>
    <t>88450-26120</t>
  </si>
  <si>
    <t>B40</t>
  </si>
  <si>
    <t>REINF LH,FRONT FASCIA</t>
  </si>
  <si>
    <t>ASY,CARRIER FR END</t>
  </si>
  <si>
    <t>1711743-00-F</t>
  </si>
  <si>
    <t>BRACKET-FASCIA FRT CTR TO FDR LH</t>
  </si>
  <si>
    <t>B41</t>
  </si>
  <si>
    <t>GRILLE</t>
  </si>
  <si>
    <t>T53111-26410</t>
  </si>
  <si>
    <t>BUMPER FR</t>
  </si>
  <si>
    <t>T52119-26800</t>
  </si>
  <si>
    <t>COVER FR BUMPER</t>
  </si>
  <si>
    <t>T52128-26180</t>
  </si>
  <si>
    <t>LWR GRILLE</t>
  </si>
  <si>
    <t>T53112-26050</t>
  </si>
  <si>
    <t>BUMPER REINF FR</t>
  </si>
  <si>
    <t>T52131-26030</t>
  </si>
  <si>
    <t>BP LWR COVER LH</t>
  </si>
  <si>
    <t>T53113-26030</t>
  </si>
  <si>
    <t>H/LAMP LH</t>
  </si>
  <si>
    <t>T81170-26580</t>
  </si>
  <si>
    <t>H/LAMP RH</t>
  </si>
  <si>
    <t>T81130-26581</t>
  </si>
  <si>
    <t>SUPPORT ASSY</t>
  </si>
  <si>
    <t>T53201-26100</t>
  </si>
  <si>
    <t>T53209-26110</t>
  </si>
  <si>
    <t>REINFORCEMENT SUB-ASSY</t>
  </si>
  <si>
    <t>T57053-26020</t>
  </si>
  <si>
    <t>FAN SHROUD</t>
  </si>
  <si>
    <t>T16711-30081</t>
  </si>
  <si>
    <t>AIR CLEANER</t>
  </si>
  <si>
    <t>T17700-30282</t>
  </si>
  <si>
    <t>T88450-26120-K</t>
  </si>
  <si>
    <t>T16400-30172-R</t>
  </si>
  <si>
    <t>RESERVE</t>
  </si>
  <si>
    <t>GRILLE CLIP</t>
  </si>
  <si>
    <t>T90467-09185</t>
  </si>
  <si>
    <t>GUIDE,GRILLE</t>
  </si>
  <si>
    <t>T53152-26020</t>
  </si>
  <si>
    <t>BUMPER CLIP</t>
  </si>
  <si>
    <t>MBA253 880 01 57 64</t>
  </si>
  <si>
    <t>HINGE BONNET LH</t>
  </si>
  <si>
    <t>HINGE, BONNET RH</t>
  </si>
  <si>
    <t>FRONT FENDER</t>
  </si>
  <si>
    <t>MBA253 880 01 18</t>
  </si>
  <si>
    <t>COVER BUMPER AREA</t>
  </si>
  <si>
    <t>MBA253 885 05 22</t>
  </si>
  <si>
    <t>WHEEL HOUSE COVERING</t>
  </si>
  <si>
    <t>MBA253 690 75 01</t>
  </si>
  <si>
    <t>RIVET</t>
  </si>
  <si>
    <t>MBA124 990 04 92</t>
  </si>
  <si>
    <t>PLASTIC NUT</t>
  </si>
  <si>
    <t>MBA000 990 28 62</t>
  </si>
  <si>
    <t>TRIM BUMPER</t>
  </si>
  <si>
    <t>MBA253 885 04 25 9999</t>
  </si>
  <si>
    <t>MOUNTING RAIL</t>
  </si>
  <si>
    <t>MBA253 885 67 01</t>
  </si>
  <si>
    <t>CUPPED BLIND RIVET</t>
  </si>
  <si>
    <t>MBA000 991 36 04</t>
  </si>
  <si>
    <t>B43</t>
  </si>
  <si>
    <t>T52119-0U932/939</t>
  </si>
  <si>
    <t>T53112-0D540</t>
  </si>
  <si>
    <t>FRT TOWING COVER</t>
  </si>
  <si>
    <t>T52721-0D290</t>
  </si>
  <si>
    <t>T53114-0D020</t>
  </si>
  <si>
    <t>81130-0DF01/P90</t>
  </si>
  <si>
    <t>81170-0DF01/P90</t>
  </si>
  <si>
    <t>RAD SUPPORT S/GARNISH LH (TOP)</t>
  </si>
  <si>
    <t>T53286-0D370</t>
  </si>
  <si>
    <t>RAD SUPPORT S/GARNISH RH (TOP)</t>
  </si>
  <si>
    <t>T53285-0D370</t>
  </si>
  <si>
    <t>RAD SUPPORT S/GARNISH RH (LWR)</t>
  </si>
  <si>
    <t>T53287-0D260</t>
  </si>
  <si>
    <t>H60120-T7A-000ZZ</t>
  </si>
  <si>
    <t>H60170-T7A-000ZZ</t>
  </si>
  <si>
    <t>BONNET LOCK</t>
  </si>
  <si>
    <t>H74120-T7A-003</t>
  </si>
  <si>
    <t>BONNET INSULATOR</t>
  </si>
  <si>
    <t>H74141-T7Y-T00</t>
  </si>
  <si>
    <t>BONNET RUBBER</t>
  </si>
  <si>
    <t>H74146-T7A-900</t>
  </si>
  <si>
    <t>FR.GRILLE</t>
  </si>
  <si>
    <t>H71121-T7A-J01</t>
  </si>
  <si>
    <t>FR.GRILLE OUTER GARN.</t>
  </si>
  <si>
    <t>H71122-T7A-J11</t>
  </si>
  <si>
    <t>FR.H EMBLEM</t>
  </si>
  <si>
    <t>H75700-T5A-000</t>
  </si>
  <si>
    <t>FRONT BUMPER</t>
  </si>
  <si>
    <t>H71101-T8N-T10ZZ</t>
  </si>
  <si>
    <t>FRONT BUMPER SPOILER</t>
  </si>
  <si>
    <t>H71102-T7A-J20</t>
  </si>
  <si>
    <t>FRT.BPR REINFORCEMENT(000ZZ)</t>
  </si>
  <si>
    <t>H71130-T7A-J00ZZ</t>
  </si>
  <si>
    <t>FR.TOW COVER</t>
  </si>
  <si>
    <t>H71104-T7A-J00ZE</t>
  </si>
  <si>
    <t>FR.FOG LAMP GARNISH RH</t>
  </si>
  <si>
    <t>H71105-T7A-J10</t>
  </si>
  <si>
    <t>FR.HEADLAMP ASSY RH</t>
  </si>
  <si>
    <t>H33100-T7A-J51</t>
  </si>
  <si>
    <t>FR.HEADLAMP ASSY LH</t>
  </si>
  <si>
    <t>H33150-T7A-J51</t>
  </si>
  <si>
    <t>FR.BULKHEAD(T7B-Z00ZZ)</t>
  </si>
  <si>
    <t>H60400-T7A-911ZZ</t>
  </si>
  <si>
    <t>FR.GRILLE COVER</t>
  </si>
  <si>
    <t>H71129-T7B-Z00</t>
  </si>
  <si>
    <t>ENG.UNDERCOVER CTR.</t>
  </si>
  <si>
    <t>H74111-T7A-000</t>
  </si>
  <si>
    <t>FR.BPR LOW.SKIRT</t>
  </si>
  <si>
    <t>H71110-T7A-J00</t>
  </si>
  <si>
    <t>FR.BUMPER LO.GRILLE</t>
  </si>
  <si>
    <t>H71103-T7A-J00</t>
  </si>
  <si>
    <t>MODULE KIT RH(T82ZA)</t>
  </si>
  <si>
    <t>H77810-T9A-T80ZA</t>
  </si>
  <si>
    <t>MODULE KIT LH (T5A-J80)</t>
  </si>
  <si>
    <t>H77820-T7A-J80</t>
  </si>
  <si>
    <t>FR.SEAT BELT RH(T02ZA)</t>
  </si>
  <si>
    <t>H81450-T8N-T01ZA</t>
  </si>
  <si>
    <t>FR.SEAT BELT LH</t>
  </si>
  <si>
    <t>H81850-T8N-T01ZA</t>
  </si>
  <si>
    <t>SRS CONTROL UNIT(J82)</t>
  </si>
  <si>
    <t>H77960-T7A-J81</t>
  </si>
  <si>
    <t>FR.DASHBOARD</t>
  </si>
  <si>
    <t>H77100-T7A-N00ZA</t>
  </si>
  <si>
    <t>H60100-T8N-T00ZZ</t>
  </si>
  <si>
    <t>A/CON CONDENSER</t>
  </si>
  <si>
    <t>H80110-T7A-J01</t>
  </si>
  <si>
    <t>FR.FENDER RH (T20ZZ)</t>
  </si>
  <si>
    <t>H60210-T8N-T00ZZ</t>
  </si>
  <si>
    <t>FR.FENDER LH(T20ZZ)</t>
  </si>
  <si>
    <t>H60260-T8N-T00ZZ</t>
  </si>
  <si>
    <t>FR.W/H ARCH PROT.RH</t>
  </si>
  <si>
    <t>H74107-T7B-003</t>
  </si>
  <si>
    <t>GRILLE LOCK CTR.BRACKET</t>
  </si>
  <si>
    <t>H71150-T7A-J00</t>
  </si>
  <si>
    <t>FR.GRILLE STAY</t>
  </si>
  <si>
    <t>H71125-T7A-J01</t>
  </si>
  <si>
    <t>HEADLAMP TOP BRACKET RH</t>
  </si>
  <si>
    <t>H71151-T7A-J00</t>
  </si>
  <si>
    <t>HEADLAMP TOP BRACKET LH</t>
  </si>
  <si>
    <t>H71152-T7A-J00</t>
  </si>
  <si>
    <t>FR.HEADLAMP LOW.BRCKT RH</t>
  </si>
  <si>
    <t>H71140-T7A-J00</t>
  </si>
  <si>
    <t>FR.HEADLAMP LOW BRKT LH</t>
  </si>
  <si>
    <t>H71190-T7A-J00</t>
  </si>
  <si>
    <t>RADIATOR ASSY(J02)</t>
  </si>
  <si>
    <t>H19010-51E-J01</t>
  </si>
  <si>
    <t>RAD.FAN SHROUD</t>
  </si>
  <si>
    <t>H19015-50T-901</t>
  </si>
  <si>
    <t>RAD.FAN BLADE</t>
  </si>
  <si>
    <t>H19020-55A-Z01</t>
  </si>
  <si>
    <t>A/CON FAN COWLING</t>
  </si>
  <si>
    <t>H38615-R1A-A02</t>
  </si>
  <si>
    <t>A/CON FAN MOTOR(A02)</t>
  </si>
  <si>
    <t>H38616-R1A-A01</t>
  </si>
  <si>
    <t>A/CON FAN BLADE</t>
  </si>
  <si>
    <t>H38611-R1A-A02</t>
  </si>
  <si>
    <t>RAD.SPARE TANK</t>
  </si>
  <si>
    <t>H19101-R1A-A00</t>
  </si>
  <si>
    <t>A/C DEFLECTOR RH</t>
  </si>
  <si>
    <t>H71111-T7A-J00</t>
  </si>
  <si>
    <t>A/C DEFLECTOR LH</t>
  </si>
  <si>
    <t>H71116-T7A-J00</t>
  </si>
  <si>
    <t>WASHER TANK</t>
  </si>
  <si>
    <t>H76841-T5A-003</t>
  </si>
  <si>
    <t>BATTERY TRAY</t>
  </si>
  <si>
    <t>H31521-T5A-900</t>
  </si>
  <si>
    <t>HIGH HORN</t>
  </si>
  <si>
    <t>H38150-T7A-J01</t>
  </si>
  <si>
    <t>AIR CHAMBER</t>
  </si>
  <si>
    <t>H17230-50T-003</t>
  </si>
  <si>
    <t>FR.W/H ARCH PROT.LH</t>
  </si>
  <si>
    <t>H74157-T7B-003</t>
  </si>
  <si>
    <t>RAD.FAN MOTOR(A03)</t>
  </si>
  <si>
    <t>H19030-R1A-A02</t>
  </si>
  <si>
    <t>CLIP INSULATOR</t>
  </si>
  <si>
    <t>H91501-STK-003</t>
  </si>
  <si>
    <t>H91503-SZ3-003</t>
  </si>
  <si>
    <t>CLIP UNDER COVER</t>
  </si>
  <si>
    <t>FR.CRASH SENSOR(R&amp;L)</t>
  </si>
  <si>
    <t>REEL CABLE(J22)</t>
  </si>
  <si>
    <t>H77900-T5A-J21</t>
  </si>
  <si>
    <t>CLIP TOP GARNISH</t>
  </si>
  <si>
    <t>B45</t>
  </si>
  <si>
    <t>M3 1R OB SHIELD RH RHD ASSY HNG</t>
  </si>
  <si>
    <t>1699947-00-C</t>
  </si>
  <si>
    <t>M3 1R OB SHIELD LH RHD ASSY HNG</t>
  </si>
  <si>
    <t>1699944-01-C</t>
  </si>
  <si>
    <t>GRILLE LWR - FRT FASCIA</t>
  </si>
  <si>
    <t>1694311-00-F</t>
  </si>
  <si>
    <t>REINF RH,FRONT FASCIA</t>
  </si>
  <si>
    <t>1711756-00-D</t>
  </si>
  <si>
    <t>ACTIVE HOOD HINGE, RH</t>
  </si>
  <si>
    <t>1774936-00-D</t>
  </si>
  <si>
    <t>FRUNK ASSY</t>
  </si>
  <si>
    <t>1694493-00-H</t>
  </si>
  <si>
    <t>WSHLD ASSY RHD IR ACOUSTIC (AF02) CHINA</t>
  </si>
  <si>
    <t>1774995-00-G</t>
  </si>
  <si>
    <t>Why it was hand-picked</t>
  </si>
  <si>
    <t>Insurer</t>
  </si>
  <si>
    <t>Car make</t>
  </si>
  <si>
    <t>Supplier</t>
  </si>
  <si>
    <t>Bill date</t>
  </si>
  <si>
    <t>Lines</t>
  </si>
  <si>
    <t>In the spot check?</t>
  </si>
  <si>
    <t>Etiqa Insurance Pte Ltd</t>
  </si>
  <si>
    <t>KIA</t>
  </si>
  <si>
    <t>MIN GHEE AUTO PTE LTD</t>
  </si>
  <si>
    <t>8415603</t>
  </si>
  <si>
    <t>11/12/2025</t>
  </si>
  <si>
    <t>AIG Asia Pacific Insurance Pte. Ltd.</t>
  </si>
  <si>
    <t>NISSAN</t>
  </si>
  <si>
    <t>JAE AUTO PTE LTD</t>
  </si>
  <si>
    <t>AR202510-00529</t>
  </si>
  <si>
    <t>01/10/2025</t>
  </si>
  <si>
    <t>Allianz Insurance Singapore Pte. Ltd.</t>
  </si>
  <si>
    <t>TESLA</t>
  </si>
  <si>
    <t>Tesla</t>
  </si>
  <si>
    <t>5528313</t>
  </si>
  <si>
    <t>SCANIA</t>
  </si>
  <si>
    <t>Scania Singapore Pte Ltd</t>
  </si>
  <si>
    <t>151248</t>
  </si>
  <si>
    <t>30/07/2025</t>
  </si>
  <si>
    <t>Yes</t>
  </si>
  <si>
    <t>Tokio Marine Insurance Singapore Ltd</t>
  </si>
  <si>
    <t>OPEL</t>
  </si>
  <si>
    <t>AR202511-05889</t>
  </si>
  <si>
    <t>13/11/2025</t>
  </si>
  <si>
    <t>LEXUS</t>
  </si>
  <si>
    <t>HE XING AUTO PARTS PTE LTD</t>
  </si>
  <si>
    <t>DLI9285054</t>
  </si>
  <si>
    <t>25/10/2025</t>
  </si>
  <si>
    <t>BMW</t>
  </si>
  <si>
    <t>AR202511-08635</t>
  </si>
  <si>
    <t>20/11/2025</t>
  </si>
  <si>
    <t>Singapore Life Ltd</t>
  </si>
  <si>
    <t>BYD</t>
  </si>
  <si>
    <t>DLI9284776</t>
  </si>
  <si>
    <t>09/10/2025</t>
  </si>
  <si>
    <t>ECICS Limited</t>
  </si>
  <si>
    <t>HYUNDAI</t>
  </si>
  <si>
    <t>AR202512-04887</t>
  </si>
  <si>
    <t>10/12/2025</t>
  </si>
  <si>
    <t>VOLKSWAGEN</t>
  </si>
  <si>
    <t>AR202510-05495</t>
  </si>
  <si>
    <t>13/10/2025</t>
  </si>
  <si>
    <t>HONDA</t>
  </si>
  <si>
    <t>8410969</t>
  </si>
  <si>
    <t>03/11/2025</t>
  </si>
  <si>
    <t>PEUGEOT</t>
  </si>
  <si>
    <t>TRANS HUA AUTO PTE LTD</t>
  </si>
  <si>
    <t>A10061453</t>
  </si>
  <si>
    <t>08/09/2025</t>
  </si>
  <si>
    <t>SUZUKI</t>
  </si>
  <si>
    <t>Lion's Auto Trading Pte Ltd</t>
  </si>
  <si>
    <t>A12656</t>
  </si>
  <si>
    <t>04/09/2025</t>
  </si>
  <si>
    <t>TOYOTA</t>
  </si>
  <si>
    <t>AR202509-08012</t>
  </si>
  <si>
    <t>18/09/2025</t>
  </si>
  <si>
    <t>EQ Insurance Company Ltd</t>
  </si>
  <si>
    <t>MITSUBISHI</t>
  </si>
  <si>
    <t>YEW HENG AUTO PARTS PTE LTD</t>
  </si>
  <si>
    <t>YLI1315864</t>
  </si>
  <si>
    <t>13/06/2025</t>
  </si>
  <si>
    <t>SKODA</t>
  </si>
  <si>
    <t>DLI9285818</t>
  </si>
  <si>
    <t>02/12/2025</t>
  </si>
  <si>
    <t>MAZDA</t>
  </si>
  <si>
    <t>AR202508-09301</t>
  </si>
  <si>
    <t>22/08/2025</t>
  </si>
  <si>
    <t>Great Eastern General Insurance Limited-MERCEDES</t>
  </si>
  <si>
    <t>BENZ</t>
  </si>
  <si>
    <t>8412421</t>
  </si>
  <si>
    <t>14/11/2025</t>
  </si>
  <si>
    <t>SUBARU</t>
  </si>
  <si>
    <t>AR202512-11256</t>
  </si>
  <si>
    <t>26/12/2025</t>
  </si>
  <si>
    <t>YLI1322004</t>
  </si>
  <si>
    <t>12/12/2025</t>
  </si>
  <si>
    <t>HL Assurance Pte Ltd</t>
  </si>
  <si>
    <t>LESUN AUTO PARTS PTE LTD</t>
  </si>
  <si>
    <t>12/08/2025</t>
  </si>
  <si>
    <t>J &amp; C General Supplies Pte Ltd</t>
  </si>
  <si>
    <t>071525</t>
  </si>
  <si>
    <t>15/07/2025</t>
  </si>
  <si>
    <t>DLI9284577</t>
  </si>
  <si>
    <t>29/09/2025</t>
  </si>
  <si>
    <t>AR202511-08848</t>
  </si>
  <si>
    <t>21/11/2025</t>
  </si>
  <si>
    <t>DLI9286143</t>
  </si>
  <si>
    <t>19/12/2025</t>
  </si>
  <si>
    <t>AR202510-12366</t>
  </si>
  <si>
    <t>30/10/2025</t>
  </si>
  <si>
    <t>AR202510-04189</t>
  </si>
  <si>
    <t>8417216</t>
  </si>
  <si>
    <t>AR202509-07820</t>
  </si>
  <si>
    <t>17/09/2025</t>
  </si>
  <si>
    <t>part number looks misread; price far from similar parts</t>
  </si>
  <si>
    <t>Tesla Motors Singapore Private Limited</t>
  </si>
  <si>
    <t>2040R0000004181</t>
  </si>
  <si>
    <t>2025/07/31</t>
  </si>
  <si>
    <t>price far from similar parts; same part number used for different items</t>
  </si>
  <si>
    <t>DLI9285374</t>
  </si>
  <si>
    <t>10/11/2025</t>
  </si>
  <si>
    <t>part number looks misread</t>
  </si>
  <si>
    <t>AR202601-08997</t>
  </si>
  <si>
    <t>21/01/2026</t>
  </si>
  <si>
    <t>price far from similar parts</t>
  </si>
  <si>
    <t>Allianz Insurance Singapore Pte. Ltd.-MERCEDES</t>
  </si>
  <si>
    <t>8397352</t>
  </si>
  <si>
    <t>03/07/2025</t>
  </si>
  <si>
    <t>AR202601-05752</t>
  </si>
  <si>
    <t>14/01/2026</t>
  </si>
  <si>
    <t>Tokio Marine Insurance Singapore Ltd-MERCEDES</t>
  </si>
  <si>
    <t>SURPASS AUTO PARTS SUPPLIES PTE LTD</t>
  </si>
  <si>
    <t>25080083</t>
  </si>
  <si>
    <t>01/08/2025</t>
  </si>
  <si>
    <t>2040R0000004919</t>
  </si>
  <si>
    <t>letter mixed into a number</t>
  </si>
  <si>
    <t>AR202509-09589</t>
  </si>
  <si>
    <t>22/09/2025</t>
  </si>
  <si>
    <t>EPC-5140005-1</t>
  </si>
  <si>
    <t>same part number used for different items</t>
  </si>
  <si>
    <t>DLI9281439</t>
  </si>
  <si>
    <t>26/04/2025</t>
  </si>
  <si>
    <t>AIG Asia Pacific Insurance Pte. Ltd.-MERCEDES</t>
  </si>
  <si>
    <t>8405253</t>
  </si>
  <si>
    <t>11/09/2025</t>
  </si>
  <si>
    <t>AR202509-09467</t>
  </si>
  <si>
    <t>HLI9083472</t>
  </si>
  <si>
    <t>20/12/2025</t>
  </si>
  <si>
    <t>2040R0000004325</t>
  </si>
  <si>
    <t>19/08/2025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</si>
</sst>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color theme="1"/>
      <family val="2"/>
      <scheme val="minor"/>
      <sz val="11"/>
      <name val="Calibri"/>
    </font>
    <font>
      <b/>
      <color rgb="FF1F2937"/>
      <sz val="18"/>
    </font>
    <font>
      <color rgb="FF6B7280"/>
      <sz val="11"/>
    </font>
    <font>
      <b/>
      <color rgb="FF1F2937"/>
      <sz val="13"/>
    </font>
    <font>
      <color rgb="FF1F2937"/>
      <sz val="11"/>
    </font>
    <font>
      <b/>
    </font>
    <font>
      <color rgb="FF9A3412"/>
      <sz val="11"/>
    </font>
    <font>
      <b/>
      <color rgb="FF15803D"/>
    </font>
    <font>
      <b/>
      <color rgb="FFFFFFFF"/>
    </font>
    <font>
      <u/>
      <color rgb="FF0563C1"/>
    </font>
    <font>
      <name val="Consolas"/>
    </font>
    <font>
      <i/>
      <color rgb="FF6B7280"/>
    </font>
    <font>
      <b/>
      <color rgb="FF9A3412"/>
    </font>
    <font>
      <b/>
      <color rgb="FF0F4C5C"/>
      <sz val="13"/>
    </font>
  </fonts>
  <fills count="8">
    <fill>
      <patternFill patternType="none"/>
    </fill>
    <fill>
      <patternFill patternType="gray125"/>
    </fill>
    <fill>
      <patternFill patternType="solid">
        <fgColor rgb="FFF3F6F8"/>
      </patternFill>
    </fill>
    <fill>
      <patternFill patternType="solid">
        <fgColor rgb="FF0F4C5C"/>
      </patternFill>
    </fill>
    <fill>
      <patternFill patternType="solid">
        <fgColor rgb="FFB45309"/>
      </patternFill>
    </fill>
    <fill>
      <patternFill patternType="solid">
        <fgColor rgb="FFFFF4CC"/>
      </patternFill>
    </fill>
    <fill>
      <patternFill patternType="solid">
        <fgColor rgb="FFE3F4E8"/>
      </patternFill>
    </fill>
    <fill>
      <patternFill patternType="solid">
        <fgColor rgb="FFFDECE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5" fillId="0" borderId="0" xfId="0" applyFont="1" applyAlignment="1">
      <alignment vertical="top"/>
    </xf>
    <xf numFmtId="0" fontId="0" fillId="0" borderId="0" xfId="0" applyAlignment="1">
      <alignment vertical="top" wrapText="1"/>
    </xf>
    <xf numFmtId="0" fontId="7" fillId="0" borderId="0" xfId="0" applyFont="1" applyAlignment="1">
      <alignment vertical="top" wrapText="1"/>
    </xf>
    <xf numFmtId="0" fontId="8" fillId="3" borderId="1" xfId="0" applyFont="1" applyFill="1" applyBorder="1" applyAlignment="1">
      <alignment vertical="center" wrapText="1"/>
    </xf>
    <xf numFmtId="0" fontId="8" fillId="4" borderId="1" xfId="0" applyFont="1" applyFill="1" applyBorder="1" applyAlignment="1">
      <alignment vertical="center" wrapText="1"/>
    </xf>
    <xf numFmtId="0" fontId="8" fillId="3" borderId="0" xfId="0" applyFont="1" applyFill="1" applyAlignment="1">
      <alignment vertical="center" wrapText="1"/>
    </xf>
    <xf numFmtId="0" fontId="9" fillId="0" borderId="1" xfId="0" applyFont="1" applyBorder="1" applyAlignment="1">
      <alignment vertical="top" wrapText="1"/>
    </xf>
    <xf numFmtId="0" fontId="10" fillId="0" borderId="1" xfId="0" applyFont="1" applyBorder="1" applyAlignment="1">
      <alignment vertical="top" wrapText="1"/>
    </xf>
    <xf numFmtId="0" fontId="0" fillId="5" borderId="1" xfId="0" applyFill="1" applyBorder="1" applyAlignment="1">
      <alignment vertical="top" wrapText="1"/>
    </xf>
    <xf numFmtId="0" fontId="5" fillId="6" borderId="1" xfId="0" applyFont="1" applyFill="1" applyBorder="1" applyAlignment="1">
      <alignment vertical="top" wrapText="1"/>
    </xf>
    <xf numFmtId="0" fontId="5" fillId="2" borderId="1" xfId="0" applyFont="1" applyFill="1" applyBorder="1" applyAlignment="1">
      <alignment vertical="top" wrapText="1"/>
    </xf>
    <xf numFmtId="0" fontId="0" fillId="7" borderId="1" xfId="0" applyFill="1" applyBorder="1" applyAlignment="1">
      <alignment vertical="top" wrapText="1"/>
    </xf>
    <xf numFmtId="0" fontId="11" fillId="0" borderId="1" xfId="0" applyFont="1" applyBorder="1" applyAlignment="1">
      <alignment vertical="top" wrapText="1"/>
    </xf>
    <xf numFmtId="0" fontId="12" fillId="0" borderId="0" xfId="0" applyFont="1"/>
    <xf numFmtId="0" fontId="13" fillId="0" borderId="0" xfId="0" applyFont="1" applyAlignment="1">
      <alignment vertical="top" wrapText="1"/>
    </xf>
    <xf numFmtId="0" fontId="5" fillId="6" borderId="1" xfId="0" applyFont="1" applyFill="1" applyBorder="1"/>
    <xf numFmtId="164" fontId="5" fillId="6" borderId="1" xfId="0" applyNumberFormat="1" applyFont="1" applyFill="1" applyBorder="1"/>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https://www.amayama.com/en/part/kia/1420608250B"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https://www.amayama.com/en/part/kia/86570H8400" TargetMode="External"/><Relationship Id="rId5" Type="http://schemas.openxmlformats.org/officeDocument/2006/relationships/hyperlink" Target="file:///home/jason/mm-parts-index/invoices/2025-12-26-Etiqa%20Insurance%20Pte%20Ltd-KIA-123.JPG" TargetMode="External"/><Relationship Id="rId6" Type="http://schemas.openxmlformats.org/officeDocument/2006/relationships/hyperlink" Target="https://www.amayama.com/en/part/kia/66311H8401" TargetMode="External"/><Relationship Id="rId7" Type="http://schemas.openxmlformats.org/officeDocument/2006/relationships/hyperlink" Target="file:///home/jason/mm-parts-index/invoices/2025-12-26-Etiqa%20Insurance%20Pte%20Ltd-KIA-123.JPG" TargetMode="External"/><Relationship Id="rId8" Type="http://schemas.openxmlformats.org/officeDocument/2006/relationships/hyperlink" Target="https://www.amayama.com/en/part/kia/86812H8400" TargetMode="External"/><Relationship Id="rId9" Type="http://schemas.openxmlformats.org/officeDocument/2006/relationships/hyperlink" Target="file:///home/jason/mm-parts-index/invoices/2026-02-09-Allianz%20Insurance%20Singapore%20Pte.%20Ltd.-TESLA-171.JPG" TargetMode="External"/><Relationship Id="rId10" Type="http://schemas.openxmlformats.org/officeDocument/2006/relationships/hyperlink" Target="https://service.tesla.com/docs/ServiceBulletins/External/SB/SB-23-31-001_Inspect_Front_Lower_Lateral_Links.pdf" TargetMode="External"/><Relationship Id="rId11" Type="http://schemas.openxmlformats.org/officeDocument/2006/relationships/hyperlink" Target="file:///home/jason/mm-parts-index/invoices/2025-11-19-AIG%20Asia%20Pacific%20Insurance%20Pte.%20Ltd.-HONDA-73.PDF" TargetMode="External"/><Relationship Id="rId12" Type="http://schemas.openxmlformats.org/officeDocument/2006/relationships/hyperlink" Target="https://www.amayama.com/en/part/honda/71152T6A901" TargetMode="External"/><Relationship Id="rId13" Type="http://schemas.openxmlformats.org/officeDocument/2006/relationships/hyperlink" Target="file:///home/jason/mm-parts-index/invoices/2025-10-03-AIG%20Asia%20Pacific%20Insurance%20Pte.%20Ltd.-MAZDA-38.PDF" TargetMode="External"/><Relationship Id="rId14" Type="http://schemas.openxmlformats.org/officeDocument/2006/relationships/hyperlink" Target="https://www.coxmazdaparts.com/oem-parts/mazda-composite-headlamp-bhn251041b" TargetMode="External"/><Relationship Id="rId15" Type="http://schemas.openxmlformats.org/officeDocument/2006/relationships/hyperlink" Target="file:///home/jason/mm-parts-index/invoices/2026-01-29-Great%20Eastern%20General%20Insurance%20Limited-MERCEDES-BENZ-150.PDF" TargetMode="External"/><Relationship Id="rId16" Type="http://schemas.openxmlformats.org/officeDocument/2006/relationships/hyperlink" Target="https://www.amayama.com/en/part/mercedes-benz/A2056203401" TargetMode="External"/><Relationship Id="rId17" Type="http://schemas.openxmlformats.org/officeDocument/2006/relationships/hyperlink" Target="file:///home/jason/mm-parts-index/invoices/2025-08-29-HL%20Assurance%20Pte%20Ltd-NISSAN-17.PDF" TargetMode="External"/><Relationship Id="rId18" Type="http://schemas.openxmlformats.org/officeDocument/2006/relationships/hyperlink" Target="file:///home/jason/mm-parts-index/invoices/2025-12-02-Allianz%20Insurance%20Singapore%20Pte.%20Ltd.-TESLA-100.JPG" TargetMode="External"/><Relationship Id="rId19" Type="http://schemas.openxmlformats.org/officeDocument/2006/relationships/hyperlink" Target="file:///home/jason/mm-parts-index/invoices/2026-02-09-Allianz%20Insurance%20Singapore%20Pte.%20Ltd.-TESLA-155.PDF" TargetMode="External"/><Relationship Id="rId20" Type="http://schemas.openxmlformats.org/officeDocument/2006/relationships/hyperlink" Target="https://evannex.com/products/sidem-outer-tie-rod-end-for-tesla-model-3-and-model-y" TargetMode="External"/><Relationship Id="rId21" Type="http://schemas.openxmlformats.org/officeDocument/2006/relationships/hyperlink" Target="file:///home/jason/mm-parts-index/invoices/2026-02-09-Allianz%20Insurance%20Singapore%20Pte.%20Ltd.-TESLA-155.PDF" TargetMode="External"/><Relationship Id="rId22" Type="http://schemas.openxmlformats.org/officeDocument/2006/relationships/hyperlink" Target="https://service.tesla.com/docs/BodyRepair/Body_Repair_Procedures/Model_3_2024/HTML/en-us/GUID-202F8DCE-1CF7-4B03-A12E-881C006229CD.html" TargetMode="External"/><Relationship Id="rId23" Type="http://schemas.openxmlformats.org/officeDocument/2006/relationships/hyperlink" Target="file:///home/jason/mm-parts-index/invoices/2026-02-09-Allianz%20Insurance%20Singapore%20Pte.%20Ltd.-TESLA-155.PDF" TargetMode="External"/><Relationship Id="rId24" Type="http://schemas.openxmlformats.org/officeDocument/2006/relationships/hyperlink" Target="https://service.tesla.com/docs/Model3/ServiceManual/2024/en-us/GUID-0E559B86-3C41-4D62-8B20-6F70032A9BA4.html" TargetMode="External"/><Relationship Id="rId25" Type="http://schemas.openxmlformats.org/officeDocument/2006/relationships/hyperlink" Target="file:///home/jason/mm-parts-index/invoices/2026-02-09-Allianz%20Insurance%20Singapore%20Pte.%20Ltd.-TESLA-155.PDF" TargetMode="External"/><Relationship Id="rId26" Type="http://schemas.openxmlformats.org/officeDocument/2006/relationships/hyperlink" Target="file:///home/jason/mm-parts-index/invoices/2026-02-09-Allianz%20Insurance%20Singapore%20Pte.%20Ltd.-TESLA-173.JPG" TargetMode="External"/><Relationship Id="rId27" Type="http://schemas.openxmlformats.org/officeDocument/2006/relationships/hyperlink" Target="file:///home/jason/mm-parts-index/invoices/2026-02-09-Allianz%20Insurance%20Singapore%20Pte.%20Ltd.-TESLA-173.JPG" TargetMode="External"/><Relationship Id="rId28" Type="http://schemas.openxmlformats.org/officeDocument/2006/relationships/hyperlink" Target="file:///home/jason/mm-parts-index/invoices/2026-02-09-Allianz%20Insurance%20Singapore%20Pte.%20Ltd.-TESLA-173.JPG" TargetMode="External"/><Relationship Id="rId29" Type="http://schemas.openxmlformats.org/officeDocument/2006/relationships/hyperlink" Target="file:///home/jason/mm-parts-index/invoices/2026-02-09-Allianz%20Insurance%20Singapore%20Pte.%20Ltd.-TESLA-173.JPG" TargetMode="External"/><Relationship Id="rId30" Type="http://schemas.openxmlformats.org/officeDocument/2006/relationships/hyperlink" Target="file:///home/jason/mm-parts-index/invoices/2026-02-09-Allianz%20Insurance%20Singapore%20Pte.%20Ltd.-TESLA-173.JPG" TargetMode="External"/><Relationship Id="rId31" Type="http://schemas.openxmlformats.org/officeDocument/2006/relationships/hyperlink" Target="file:///home/jason/mm-parts-index/invoices/2026-02-09-Allianz%20Insurance%20Singapore%20Pte.%20Ltd.-TESLA-173.JPG" TargetMode="External"/><Relationship Id="rId32" Type="http://schemas.openxmlformats.org/officeDocument/2006/relationships/hyperlink" Target="file:///home/jason/mm-parts-index/invoices/2026-02-09-Allianz%20Insurance%20Singapore%20Pte.%20Ltd.-TESLA-173.JPG" TargetMode="External"/><Relationship Id="rId33" Type="http://schemas.openxmlformats.org/officeDocument/2006/relationships/hyperlink" Target="file:///home/jason/mm-parts-index/invoices/2026-02-09-Allianz%20Insurance%20Singapore%20Pte.%20Ltd.-TESLA-173.JPG"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https://www.amayama.com/en/part/toyota/1671130082" TargetMode="External"/><Relationship Id="rId36" Type="http://schemas.openxmlformats.org/officeDocument/2006/relationships/hyperlink" Target="file:///home/jason/mm-parts-index/invoices/2025-10-17-AIG%20Asia%20Pacific%20Insurance%20Pte.%20Ltd.-MERCEDES-BENZ-55.PDF" TargetMode="External"/><Relationship Id="rId37" Type="http://schemas.openxmlformats.org/officeDocument/2006/relationships/hyperlink" Target="https://www.amayama.com/en/part/mercedes-benz/A2538800128" TargetMode="External"/><Relationship Id="rId38" Type="http://schemas.openxmlformats.org/officeDocument/2006/relationships/hyperlink" Target="file:///home/jason/mm-parts-index/invoices/2026-01-20-Singapore%20Life%20Ltd-HONDA-144.PDF" TargetMode="External"/><Relationship Id="rId39" Type="http://schemas.openxmlformats.org/officeDocument/2006/relationships/hyperlink" Target="https://www.amayama.com/en/part/honda/77930T5AJ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file:///home/jason/mm-parts-index/invoices/2025-12-02-Allianz%20Insurance%20Singapore%20Pte.%20Ltd.-SCANIA-92.PDF" TargetMode="External"/><Relationship Id="rId2" Type="http://schemas.openxmlformats.org/officeDocument/2006/relationships/hyperlink" Target="file:///home/jason/mm-parts-index/invoices/2025-12-02-Allianz%20Insurance%20Singapore%20Pte.%20Ltd.-SCANIA-92.PDF" TargetMode="External"/><Relationship Id="rId3" Type="http://schemas.openxmlformats.org/officeDocument/2006/relationships/hyperlink" Target="file:///home/jason/mm-parts-index/invoices/2025-12-02-Allianz%20Insurance%20Singapore%20Pte.%20Ltd.-SCANIA-92.PDF" TargetMode="External"/><Relationship Id="rId4" Type="http://schemas.openxmlformats.org/officeDocument/2006/relationships/hyperlink" Target="file:///home/jason/mm-parts-index/invoices/2025-12-02-Allianz%20Insurance%20Singapore%20Pte.%20Ltd.-SCANIA-92.PDF" TargetMode="External"/><Relationship Id="rId5" Type="http://schemas.openxmlformats.org/officeDocument/2006/relationships/hyperlink" Target="file:///home/jason/mm-parts-index/invoices/2025-12-02-Allianz%20Insurance%20Singapore%20Pte.%20Ltd.-SCANIA-92.PDF" TargetMode="External"/><Relationship Id="rId6" Type="http://schemas.openxmlformats.org/officeDocument/2006/relationships/hyperlink" Target="file:///home/jason/mm-parts-index/invoices/2025-12-02-Allianz%20Insurance%20Singapore%20Pte.%20Ltd.-SCANIA-92.PDF" TargetMode="External"/><Relationship Id="rId7" Type="http://schemas.openxmlformats.org/officeDocument/2006/relationships/hyperlink" Target="file:///home/jason/mm-parts-index/invoices/2025-12-02-Allianz%20Insurance%20Singapore%20Pte.%20Ltd.-SCANIA-92.PDF" TargetMode="External"/><Relationship Id="rId8" Type="http://schemas.openxmlformats.org/officeDocument/2006/relationships/hyperlink" Target="file:///home/jason/mm-parts-index/invoices/2025-12-02-Allianz%20Insurance%20Singapore%20Pte.%20Ltd.-SCANIA-92.PDF" TargetMode="External"/><Relationship Id="rId9" Type="http://schemas.openxmlformats.org/officeDocument/2006/relationships/hyperlink" Target="file:///home/jason/mm-parts-index/invoices/2025-12-02-Allianz%20Insurance%20Singapore%20Pte.%20Ltd.-SCANIA-92.PDF" TargetMode="External"/><Relationship Id="rId10" Type="http://schemas.openxmlformats.org/officeDocument/2006/relationships/hyperlink" Target="file:///home/jason/mm-parts-index/invoices/2025-12-02-Allianz%20Insurance%20Singapore%20Pte.%20Ltd.-SCANIA-92.PDF" TargetMode="External"/><Relationship Id="rId11" Type="http://schemas.openxmlformats.org/officeDocument/2006/relationships/hyperlink" Target="file:///home/jason/mm-parts-index/invoices/2025-12-02-Allianz%20Insurance%20Singapore%20Pte.%20Ltd.-SCANIA-92.PDF" TargetMode="External"/><Relationship Id="rId12" Type="http://schemas.openxmlformats.org/officeDocument/2006/relationships/hyperlink" Target="file:///home/jason/mm-parts-index/invoices/2025-12-02-Allianz%20Insurance%20Singapore%20Pte.%20Ltd.-SCANIA-92.PDF" TargetMode="External"/><Relationship Id="rId13" Type="http://schemas.openxmlformats.org/officeDocument/2006/relationships/hyperlink" Target="file:///home/jason/mm-parts-index/invoices/2025-12-02-Allianz%20Insurance%20Singapore%20Pte.%20Ltd.-SCANIA-92.PDF" TargetMode="External"/><Relationship Id="rId14" Type="http://schemas.openxmlformats.org/officeDocument/2006/relationships/hyperlink" Target="file:///home/jason/mm-parts-index/invoices/2025-11-10-Singapore%20Life%20Ltd-BYD-69.PDF" TargetMode="External"/><Relationship Id="rId15" Type="http://schemas.openxmlformats.org/officeDocument/2006/relationships/hyperlink" Target="file:///home/jason/mm-parts-index/invoices/2025-11-10-Singapore%20Life%20Ltd-BYD-69.PDF" TargetMode="External"/><Relationship Id="rId16" Type="http://schemas.openxmlformats.org/officeDocument/2006/relationships/hyperlink" Target="file:///home/jason/mm-parts-index/invoices/2025-11-10-Singapore%20Life%20Ltd-BYD-69.PDF" TargetMode="External"/><Relationship Id="rId17" Type="http://schemas.openxmlformats.org/officeDocument/2006/relationships/hyperlink" Target="file:///home/jason/mm-parts-index/invoices/2025-11-10-Singapore%20Life%20Ltd-BYD-69.PDF" TargetMode="External"/><Relationship Id="rId18" Type="http://schemas.openxmlformats.org/officeDocument/2006/relationships/hyperlink" Target="file:///home/jason/mm-parts-index/invoices/2025-11-10-Singapore%20Life%20Ltd-BYD-69.PDF" TargetMode="External"/><Relationship Id="rId19" Type="http://schemas.openxmlformats.org/officeDocument/2006/relationships/hyperlink" Target="file:///home/jason/mm-parts-index/invoices/2025-11-10-Singapore%20Life%20Ltd-BYD-69.PDF" TargetMode="External"/><Relationship Id="rId20" Type="http://schemas.openxmlformats.org/officeDocument/2006/relationships/hyperlink" Target="file:///home/jason/mm-parts-index/invoices/2025-11-10-Singapore%20Life%20Ltd-BYD-69.PDF" TargetMode="External"/><Relationship Id="rId21" Type="http://schemas.openxmlformats.org/officeDocument/2006/relationships/hyperlink" Target="file:///home/jason/mm-parts-index/invoices/2025-11-10-Singapore%20Life%20Ltd-BYD-69.PDF" TargetMode="External"/><Relationship Id="rId22" Type="http://schemas.openxmlformats.org/officeDocument/2006/relationships/hyperlink" Target="file:///home/jason/mm-parts-index/invoices/2025-11-10-Singapore%20Life%20Ltd-BYD-69.PDF" TargetMode="External"/><Relationship Id="rId23" Type="http://schemas.openxmlformats.org/officeDocument/2006/relationships/hyperlink" Target="file:///home/jason/mm-parts-index/invoices/2025-11-10-Singapore%20Life%20Ltd-BYD-69.PDF" TargetMode="External"/><Relationship Id="rId24" Type="http://schemas.openxmlformats.org/officeDocument/2006/relationships/hyperlink" Target="file:///home/jason/mm-parts-index/invoices/2025-11-10-Singapore%20Life%20Ltd-BYD-69.PDF" TargetMode="External"/><Relationship Id="rId25" Type="http://schemas.openxmlformats.org/officeDocument/2006/relationships/hyperlink" Target="file:///home/jason/mm-parts-index/invoices/2025-11-10-Singapore%20Life%20Ltd-BYD-69.PDF" TargetMode="External"/><Relationship Id="rId26" Type="http://schemas.openxmlformats.org/officeDocument/2006/relationships/hyperlink" Target="file:///home/jason/mm-parts-index/invoices/2025-11-10-Singapore%20Life%20Ltd-BYD-69.PDF" TargetMode="External"/><Relationship Id="rId27" Type="http://schemas.openxmlformats.org/officeDocument/2006/relationships/hyperlink" Target="file:///home/jason/mm-parts-index/invoices/2025-11-10-Singapore%20Life%20Ltd-BYD-69.PDF" TargetMode="External"/><Relationship Id="rId28" Type="http://schemas.openxmlformats.org/officeDocument/2006/relationships/hyperlink" Target="file:///home/jason/mm-parts-index/invoices/2025-11-10-Singapore%20Life%20Ltd-BYD-69.PDF" TargetMode="External"/><Relationship Id="rId29" Type="http://schemas.openxmlformats.org/officeDocument/2006/relationships/hyperlink" Target="file:///home/jason/mm-parts-index/invoices/2026-02-25-ECICS%20Limited-HYUNDAI-193.PDF" TargetMode="External"/><Relationship Id="rId30" Type="http://schemas.openxmlformats.org/officeDocument/2006/relationships/hyperlink" Target="file:///home/jason/mm-parts-index/invoices/2026-02-25-ECICS%20Limited-HYUNDAI-193.PDF" TargetMode="External"/><Relationship Id="rId31" Type="http://schemas.openxmlformats.org/officeDocument/2006/relationships/hyperlink" Target="file:///home/jason/mm-parts-index/invoices/2026-02-11-Allianz%20Insurance%20Singapore%20Pte.%20Ltd.-TOYOTA-176.PDF" TargetMode="External"/><Relationship Id="rId32" Type="http://schemas.openxmlformats.org/officeDocument/2006/relationships/hyperlink" Target="file:///home/jason/mm-parts-index/invoices/2026-01-08-AIG%20Asia%20Pacific%20Insurance%20Pte.%20Ltd.-SUBARU-138.PDF" TargetMode="External"/><Relationship Id="rId33" Type="http://schemas.openxmlformats.org/officeDocument/2006/relationships/hyperlink" Target="file:///home/jason/mm-parts-index/invoices/2026-01-08-AIG%20Asia%20Pacific%20Insurance%20Pte.%20Ltd.-SUBARU-138.PDF" TargetMode="External"/><Relationship Id="rId34" Type="http://schemas.openxmlformats.org/officeDocument/2006/relationships/hyperlink" Target="file:///home/jason/mm-parts-index/invoices/2026-01-08-AIG%20Asia%20Pacific%20Insurance%20Pte.%20Ltd.-SUBARU-138.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2-26-Etiqa%20Insurance%20Pte%20Ltd-KIA-123.JPG"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file:///home/jason/mm-parts-index/invoices/2025-12-26-Etiqa%20Insurance%20Pte%20Ltd-KIA-123.JPG" TargetMode="External"/><Relationship Id="rId5" Type="http://schemas.openxmlformats.org/officeDocument/2006/relationships/hyperlink" Target="file:///home/jason/mm-parts-index/invoices/2025-12-26-Etiqa%20Insurance%20Pte%20Ltd-KIA-123.JPG" TargetMode="External"/><Relationship Id="rId6" Type="http://schemas.openxmlformats.org/officeDocument/2006/relationships/hyperlink" Target="file:///home/jason/mm-parts-index/invoices/2025-12-26-Etiqa%20Insurance%20Pte%20Ltd-KIA-123.JPG" TargetMode="External"/><Relationship Id="rId7" Type="http://schemas.openxmlformats.org/officeDocument/2006/relationships/hyperlink" Target="file:///home/jason/mm-parts-index/invoices/2025-12-26-Etiqa%20Insurance%20Pte%20Ltd-KIA-123.JPG" TargetMode="External"/><Relationship Id="rId8" Type="http://schemas.openxmlformats.org/officeDocument/2006/relationships/hyperlink" Target="file:///home/jason/mm-parts-index/invoices/2025-12-26-Etiqa%20Insurance%20Pte%20Ltd-KIA-123.JPG" TargetMode="External"/><Relationship Id="rId9" Type="http://schemas.openxmlformats.org/officeDocument/2006/relationships/hyperlink" Target="file:///home/jason/mm-parts-index/invoices/2025-12-26-Etiqa%20Insurance%20Pte%20Ltd-KIA-123.JPG" TargetMode="External"/><Relationship Id="rId10" Type="http://schemas.openxmlformats.org/officeDocument/2006/relationships/hyperlink" Target="file:///home/jason/mm-parts-index/invoices/2025-12-26-Etiqa%20Insurance%20Pte%20Ltd-KIA-123.JPG" TargetMode="External"/><Relationship Id="rId11" Type="http://schemas.openxmlformats.org/officeDocument/2006/relationships/hyperlink" Target="file:///home/jason/mm-parts-index/invoices/2025-10-10-AIG%20Asia%20Pacific%20Insurance%20Pte.%20Ltd.-NISSAN-46.PDF" TargetMode="External"/><Relationship Id="rId12" Type="http://schemas.openxmlformats.org/officeDocument/2006/relationships/hyperlink" Target="file:///home/jason/mm-parts-index/invoices/2026-02-09-Allianz%20Insurance%20Singapore%20Pte.%20Ltd.-TESLA-171.JPG" TargetMode="External"/><Relationship Id="rId13" Type="http://schemas.openxmlformats.org/officeDocument/2006/relationships/hyperlink" Target="file:///home/jason/mm-parts-index/invoices/2026-02-09-Allianz%20Insurance%20Singapore%20Pte.%20Ltd.-TESLA-171.JPG" TargetMode="External"/><Relationship Id="rId14" Type="http://schemas.openxmlformats.org/officeDocument/2006/relationships/hyperlink" Target="file:///home/jason/mm-parts-index/invoices/2026-02-09-Allianz%20Insurance%20Singapore%20Pte.%20Ltd.-TESLA-171.JPG" TargetMode="External"/><Relationship Id="rId15" Type="http://schemas.openxmlformats.org/officeDocument/2006/relationships/hyperlink" Target="file:///home/jason/mm-parts-index/invoices/2025-12-02-Allianz%20Insurance%20Singapore%20Pte.%20Ltd.-SCANIA-92.PDF" TargetMode="External"/><Relationship Id="rId16" Type="http://schemas.openxmlformats.org/officeDocument/2006/relationships/hyperlink" Target="file:///home/jason/mm-parts-index/invoices/2025-12-02-Allianz%20Insurance%20Singapore%20Pte.%20Ltd.-SCANIA-92.PDF" TargetMode="External"/><Relationship Id="rId17" Type="http://schemas.openxmlformats.org/officeDocument/2006/relationships/hyperlink" Target="file:///home/jason/mm-parts-index/invoices/2025-12-02-Allianz%20Insurance%20Singapore%20Pte.%20Ltd.-SCANIA-92.PDF" TargetMode="External"/><Relationship Id="rId18" Type="http://schemas.openxmlformats.org/officeDocument/2006/relationships/hyperlink" Target="file:///home/jason/mm-parts-index/invoices/2025-12-02-Allianz%20Insurance%20Singapore%20Pte.%20Ltd.-SCANIA-92.PDF" TargetMode="External"/><Relationship Id="rId19" Type="http://schemas.openxmlformats.org/officeDocument/2006/relationships/hyperlink" Target="file:///home/jason/mm-parts-index/invoices/2025-12-02-Allianz%20Insurance%20Singapore%20Pte.%20Ltd.-SCANIA-92.PDF" TargetMode="External"/><Relationship Id="rId20" Type="http://schemas.openxmlformats.org/officeDocument/2006/relationships/hyperlink" Target="file:///home/jason/mm-parts-index/invoices/2025-12-02-Allianz%20Insurance%20Singapore%20Pte.%20Ltd.-SCANIA-92.PDF" TargetMode="External"/><Relationship Id="rId21" Type="http://schemas.openxmlformats.org/officeDocument/2006/relationships/hyperlink" Target="file:///home/jason/mm-parts-index/invoices/2025-12-02-Allianz%20Insurance%20Singapore%20Pte.%20Ltd.-SCANIA-92.PDF" TargetMode="External"/><Relationship Id="rId22" Type="http://schemas.openxmlformats.org/officeDocument/2006/relationships/hyperlink" Target="file:///home/jason/mm-parts-index/invoices/2025-12-02-Allianz%20Insurance%20Singapore%20Pte.%20Ltd.-SCANIA-92.PDF" TargetMode="External"/><Relationship Id="rId23" Type="http://schemas.openxmlformats.org/officeDocument/2006/relationships/hyperlink" Target="file:///home/jason/mm-parts-index/invoices/2025-12-02-Allianz%20Insurance%20Singapore%20Pte.%20Ltd.-SCANIA-92.PDF" TargetMode="External"/><Relationship Id="rId24" Type="http://schemas.openxmlformats.org/officeDocument/2006/relationships/hyperlink" Target="file:///home/jason/mm-parts-index/invoices/2025-12-02-Allianz%20Insurance%20Singapore%20Pte.%20Ltd.-SCANIA-92.PDF" TargetMode="External"/><Relationship Id="rId25" Type="http://schemas.openxmlformats.org/officeDocument/2006/relationships/hyperlink" Target="file:///home/jason/mm-parts-index/invoices/2025-12-02-Allianz%20Insurance%20Singapore%20Pte.%20Ltd.-SCANIA-92.PDF" TargetMode="External"/><Relationship Id="rId26" Type="http://schemas.openxmlformats.org/officeDocument/2006/relationships/hyperlink" Target="file:///home/jason/mm-parts-index/invoices/2025-12-02-Allianz%20Insurance%20Singapore%20Pte.%20Ltd.-SCANIA-92.PDF" TargetMode="External"/><Relationship Id="rId27" Type="http://schemas.openxmlformats.org/officeDocument/2006/relationships/hyperlink" Target="file:///home/jason/mm-parts-index/invoices/2025-12-02-Allianz%20Insurance%20Singapore%20Pte.%20Ltd.-SCANIA-92.PDF" TargetMode="External"/><Relationship Id="rId28" Type="http://schemas.openxmlformats.org/officeDocument/2006/relationships/hyperlink" Target="file:///home/jason/mm-parts-index/invoices/2026-02-06-Tokio%20Marine%20Insurance%20Singapore%20Ltd-OPEL-154.PDF" TargetMode="External"/><Relationship Id="rId29" Type="http://schemas.openxmlformats.org/officeDocument/2006/relationships/hyperlink" Target="file:///home/jason/mm-parts-index/invoices/2026-02-06-Tokio%20Marine%20Insurance%20Singapore%20Ltd-OPEL-154.PDF" TargetMode="External"/><Relationship Id="rId30" Type="http://schemas.openxmlformats.org/officeDocument/2006/relationships/hyperlink" Target="file:///home/jason/mm-parts-index/invoices/2026-02-06-Tokio%20Marine%20Insurance%20Singapore%20Ltd-OPEL-154.PDF" TargetMode="External"/><Relationship Id="rId31" Type="http://schemas.openxmlformats.org/officeDocument/2006/relationships/hyperlink" Target="file:///home/jason/mm-parts-index/invoices/2026-02-06-Tokio%20Marine%20Insurance%20Singapore%20Ltd-OPEL-154.PDF" TargetMode="External"/><Relationship Id="rId32" Type="http://schemas.openxmlformats.org/officeDocument/2006/relationships/hyperlink" Target="file:///home/jason/mm-parts-index/invoices/2026-02-06-Tokio%20Marine%20Insurance%20Singapore%20Ltd-OPEL-154.PDF" TargetMode="External"/><Relationship Id="rId33" Type="http://schemas.openxmlformats.org/officeDocument/2006/relationships/hyperlink" Target="file:///home/jason/mm-parts-index/invoices/2026-02-06-Tokio%20Marine%20Insurance%20Singapore%20Ltd-OPEL-154.PDF" TargetMode="External"/><Relationship Id="rId34" Type="http://schemas.openxmlformats.org/officeDocument/2006/relationships/hyperlink" Target="file:///home/jason/mm-parts-index/invoices/2026-02-06-Tokio%20Marine%20Insurance%20Singapore%20Ltd-OPEL-154.PDF" TargetMode="External"/><Relationship Id="rId35" Type="http://schemas.openxmlformats.org/officeDocument/2006/relationships/hyperlink" Target="file:///home/jason/mm-parts-index/invoices/2026-02-06-Tokio%20Marine%20Insurance%20Singapore%20Ltd-OPEL-154.PDF" TargetMode="External"/><Relationship Id="rId36" Type="http://schemas.openxmlformats.org/officeDocument/2006/relationships/hyperlink" Target="file:///home/jason/mm-parts-index/invoices/2026-02-06-Tokio%20Marine%20Insurance%20Singapore%20Ltd-OPEL-154.PDF" TargetMode="External"/><Relationship Id="rId37" Type="http://schemas.openxmlformats.org/officeDocument/2006/relationships/hyperlink" Target="file:///home/jason/mm-parts-index/invoices/2026-02-06-Tokio%20Marine%20Insurance%20Singapore%20Ltd-OPEL-154.PDF" TargetMode="External"/><Relationship Id="rId38" Type="http://schemas.openxmlformats.org/officeDocument/2006/relationships/hyperlink" Target="file:///home/jason/mm-parts-index/invoices/2026-02-06-Tokio%20Marine%20Insurance%20Singapore%20Ltd-OPEL-154.PDF" TargetMode="External"/><Relationship Id="rId39" Type="http://schemas.openxmlformats.org/officeDocument/2006/relationships/hyperlink" Target="file:///home/jason/mm-parts-index/invoices/2026-02-06-Tokio%20Marine%20Insurance%20Singapore%20Ltd-OPEL-154.PDF" TargetMode="External"/><Relationship Id="rId40" Type="http://schemas.openxmlformats.org/officeDocument/2006/relationships/hyperlink" Target="file:///home/jason/mm-parts-index/invoices/2026-02-06-Tokio%20Marine%20Insurance%20Singapore%20Ltd-OPEL-154.PDF" TargetMode="External"/><Relationship Id="rId41" Type="http://schemas.openxmlformats.org/officeDocument/2006/relationships/hyperlink" Target="file:///home/jason/mm-parts-index/invoices/2026-02-06-Tokio%20Marine%20Insurance%20Singapore%20Ltd-OPEL-154.PDF" TargetMode="External"/><Relationship Id="rId42" Type="http://schemas.openxmlformats.org/officeDocument/2006/relationships/hyperlink" Target="file:///home/jason/mm-parts-index/invoices/2026-02-06-Tokio%20Marine%20Insurance%20Singapore%20Ltd-OPEL-154.PDF" TargetMode="External"/><Relationship Id="rId43" Type="http://schemas.openxmlformats.org/officeDocument/2006/relationships/hyperlink" Target="file:///home/jason/mm-parts-index/invoices/2026-02-06-Tokio%20Marine%20Insurance%20Singapore%20Ltd-OPEL-154.PDF" TargetMode="External"/><Relationship Id="rId44" Type="http://schemas.openxmlformats.org/officeDocument/2006/relationships/hyperlink" Target="file:///home/jason/mm-parts-index/invoices/2026-02-06-Tokio%20Marine%20Insurance%20Singapore%20Ltd-OPEL-154.PDF" TargetMode="External"/><Relationship Id="rId45" Type="http://schemas.openxmlformats.org/officeDocument/2006/relationships/hyperlink" Target="file:///home/jason/mm-parts-index/invoices/2026-02-06-Tokio%20Marine%20Insurance%20Singapore%20Ltd-OPEL-154.PDF" TargetMode="External"/><Relationship Id="rId46" Type="http://schemas.openxmlformats.org/officeDocument/2006/relationships/hyperlink" Target="file:///home/jason/mm-parts-index/invoices/2025-11-22-AIG%20Asia%20Pacific%20Insurance%20Pte.%20Ltd.-LEXUS-80.PDF" TargetMode="External"/><Relationship Id="rId47" Type="http://schemas.openxmlformats.org/officeDocument/2006/relationships/hyperlink" Target="file:///home/jason/mm-parts-index/invoices/2025-11-22-AIG%20Asia%20Pacific%20Insurance%20Pte.%20Ltd.-LEXUS-80.PDF" TargetMode="External"/><Relationship Id="rId48" Type="http://schemas.openxmlformats.org/officeDocument/2006/relationships/hyperlink" Target="file:///home/jason/mm-parts-index/invoices/2025-11-22-AIG%20Asia%20Pacific%20Insurance%20Pte.%20Ltd.-LEXUS-80.PDF" TargetMode="External"/><Relationship Id="rId49" Type="http://schemas.openxmlformats.org/officeDocument/2006/relationships/hyperlink" Target="file:///home/jason/mm-parts-index/invoices/2025-11-22-AIG%20Asia%20Pacific%20Insurance%20Pte.%20Ltd.-LEXUS-80.PDF" TargetMode="External"/><Relationship Id="rId50" Type="http://schemas.openxmlformats.org/officeDocument/2006/relationships/hyperlink" Target="file:///home/jason/mm-parts-index/invoices/2025-11-22-AIG%20Asia%20Pacific%20Insurance%20Pte.%20Ltd.-LEXUS-80.PDF" TargetMode="External"/><Relationship Id="rId51" Type="http://schemas.openxmlformats.org/officeDocument/2006/relationships/hyperlink" Target="file:///home/jason/mm-parts-index/invoices/2025-11-22-AIG%20Asia%20Pacific%20Insurance%20Pte.%20Ltd.-LEXUS-80.PDF" TargetMode="External"/><Relationship Id="rId52" Type="http://schemas.openxmlformats.org/officeDocument/2006/relationships/hyperlink" Target="file:///home/jason/mm-parts-index/invoices/2025-11-22-AIG%20Asia%20Pacific%20Insurance%20Pte.%20Ltd.-LEXUS-80.PDF" TargetMode="External"/><Relationship Id="rId53" Type="http://schemas.openxmlformats.org/officeDocument/2006/relationships/hyperlink" Target="file:///home/jason/mm-parts-index/invoices/2025-12-10-Allianz%20Insurance%20Singapore%20Pte.%20Ltd.-BMW-108.PDF" TargetMode="External"/><Relationship Id="rId54" Type="http://schemas.openxmlformats.org/officeDocument/2006/relationships/hyperlink" Target="file:///home/jason/mm-parts-index/invoices/2025-12-10-Allianz%20Insurance%20Singapore%20Pte.%20Ltd.-BMW-108.PDF" TargetMode="External"/><Relationship Id="rId55" Type="http://schemas.openxmlformats.org/officeDocument/2006/relationships/hyperlink" Target="file:///home/jason/mm-parts-index/invoices/2025-11-10-Singapore%20Life%20Ltd-BYD-69.PDF" TargetMode="External"/><Relationship Id="rId56" Type="http://schemas.openxmlformats.org/officeDocument/2006/relationships/hyperlink" Target="file:///home/jason/mm-parts-index/invoices/2025-11-10-Singapore%20Life%20Ltd-BYD-69.PDF" TargetMode="External"/><Relationship Id="rId57" Type="http://schemas.openxmlformats.org/officeDocument/2006/relationships/hyperlink" Target="file:///home/jason/mm-parts-index/invoices/2025-11-10-Singapore%20Life%20Ltd-BYD-69.PDF" TargetMode="External"/><Relationship Id="rId58" Type="http://schemas.openxmlformats.org/officeDocument/2006/relationships/hyperlink" Target="file:///home/jason/mm-parts-index/invoices/2025-11-10-Singapore%20Life%20Ltd-BYD-69.PDF" TargetMode="External"/><Relationship Id="rId59" Type="http://schemas.openxmlformats.org/officeDocument/2006/relationships/hyperlink" Target="file:///home/jason/mm-parts-index/invoices/2025-11-10-Singapore%20Life%20Ltd-BYD-69.PDF" TargetMode="External"/><Relationship Id="rId60" Type="http://schemas.openxmlformats.org/officeDocument/2006/relationships/hyperlink" Target="file:///home/jason/mm-parts-index/invoices/2025-11-10-Singapore%20Life%20Ltd-BYD-69.PDF" TargetMode="External"/><Relationship Id="rId61" Type="http://schemas.openxmlformats.org/officeDocument/2006/relationships/hyperlink" Target="file:///home/jason/mm-parts-index/invoices/2025-11-10-Singapore%20Life%20Ltd-BYD-69.PDF" TargetMode="External"/><Relationship Id="rId62" Type="http://schemas.openxmlformats.org/officeDocument/2006/relationships/hyperlink" Target="file:///home/jason/mm-parts-index/invoices/2025-11-10-Singapore%20Life%20Ltd-BYD-69.PDF" TargetMode="External"/><Relationship Id="rId63" Type="http://schemas.openxmlformats.org/officeDocument/2006/relationships/hyperlink" Target="file:///home/jason/mm-parts-index/invoices/2025-11-10-Singapore%20Life%20Ltd-BYD-69.PDF" TargetMode="External"/><Relationship Id="rId64" Type="http://schemas.openxmlformats.org/officeDocument/2006/relationships/hyperlink" Target="file:///home/jason/mm-parts-index/invoices/2025-11-10-Singapore%20Life%20Ltd-BYD-69.PDF" TargetMode="External"/><Relationship Id="rId65" Type="http://schemas.openxmlformats.org/officeDocument/2006/relationships/hyperlink" Target="file:///home/jason/mm-parts-index/invoices/2025-11-10-Singapore%20Life%20Ltd-BYD-69.PDF" TargetMode="External"/><Relationship Id="rId66" Type="http://schemas.openxmlformats.org/officeDocument/2006/relationships/hyperlink" Target="file:///home/jason/mm-parts-index/invoices/2025-11-10-Singapore%20Life%20Ltd-BYD-69.PDF" TargetMode="External"/><Relationship Id="rId67" Type="http://schemas.openxmlformats.org/officeDocument/2006/relationships/hyperlink" Target="file:///home/jason/mm-parts-index/invoices/2025-11-10-Singapore%20Life%20Ltd-BYD-69.PDF" TargetMode="External"/><Relationship Id="rId68" Type="http://schemas.openxmlformats.org/officeDocument/2006/relationships/hyperlink" Target="file:///home/jason/mm-parts-index/invoices/2025-11-10-Singapore%20Life%20Ltd-BYD-69.PDF" TargetMode="External"/><Relationship Id="rId69" Type="http://schemas.openxmlformats.org/officeDocument/2006/relationships/hyperlink" Target="file:///home/jason/mm-parts-index/invoices/2025-11-10-Singapore%20Life%20Ltd-BYD-69.PDF" TargetMode="External"/><Relationship Id="rId70" Type="http://schemas.openxmlformats.org/officeDocument/2006/relationships/hyperlink" Target="file:///home/jason/mm-parts-index/invoices/2026-02-25-ECICS%20Limited-HYUNDAI-193.PDF" TargetMode="External"/><Relationship Id="rId71" Type="http://schemas.openxmlformats.org/officeDocument/2006/relationships/hyperlink" Target="file:///home/jason/mm-parts-index/invoices/2026-02-25-ECICS%20Limited-HYUNDAI-193.PDF" TargetMode="External"/><Relationship Id="rId72" Type="http://schemas.openxmlformats.org/officeDocument/2006/relationships/hyperlink" Target="file:///home/jason/mm-parts-index/invoices/2025-10-16-Allianz%20Insurance%20Singapore%20Pte.%20Ltd.-VOLKSWAGEN-51.PDF" TargetMode="External"/><Relationship Id="rId73" Type="http://schemas.openxmlformats.org/officeDocument/2006/relationships/hyperlink" Target="file:///home/jason/mm-parts-index/invoices/2025-11-19-AIG%20Asia%20Pacific%20Insurance%20Pte.%20Ltd.-HONDA-73.PDF" TargetMode="External"/><Relationship Id="rId74" Type="http://schemas.openxmlformats.org/officeDocument/2006/relationships/hyperlink" Target="file:///home/jason/mm-parts-index/invoices/2025-11-19-AIG%20Asia%20Pacific%20Insurance%20Pte.%20Ltd.-HONDA-73.PDF" TargetMode="External"/><Relationship Id="rId75" Type="http://schemas.openxmlformats.org/officeDocument/2006/relationships/hyperlink" Target="file:///home/jason/mm-parts-index/invoices/2025-11-19-AIG%20Asia%20Pacific%20Insurance%20Pte.%20Ltd.-HONDA-73.PDF" TargetMode="External"/><Relationship Id="rId76" Type="http://schemas.openxmlformats.org/officeDocument/2006/relationships/hyperlink" Target="file:///home/jason/mm-parts-index/invoices/2025-11-19-AIG%20Asia%20Pacific%20Insurance%20Pte.%20Ltd.-HONDA-73.PDF" TargetMode="External"/><Relationship Id="rId77" Type="http://schemas.openxmlformats.org/officeDocument/2006/relationships/hyperlink" Target="file:///home/jason/mm-parts-index/invoices/2025-11-19-AIG%20Asia%20Pacific%20Insurance%20Pte.%20Ltd.-HONDA-73.PDF" TargetMode="External"/><Relationship Id="rId78" Type="http://schemas.openxmlformats.org/officeDocument/2006/relationships/hyperlink" Target="file:///home/jason/mm-parts-index/invoices/2025-11-19-AIG%20Asia%20Pacific%20Insurance%20Pte.%20Ltd.-HONDA-73.PDF" TargetMode="External"/><Relationship Id="rId79" Type="http://schemas.openxmlformats.org/officeDocument/2006/relationships/hyperlink" Target="file:///home/jason/mm-parts-index/invoices/2025-12-10-Tokio%20Marine%20Insurance%20Singapore%20Ltd-PEUGEOT-107.PDF" TargetMode="External"/><Relationship Id="rId80" Type="http://schemas.openxmlformats.org/officeDocument/2006/relationships/hyperlink" Target="file:///home/jason/mm-parts-index/invoices/2025-12-10-Tokio%20Marine%20Insurance%20Singapore%20Ltd-PEUGEOT-107.PDF" TargetMode="External"/><Relationship Id="rId81" Type="http://schemas.openxmlformats.org/officeDocument/2006/relationships/hyperlink" Target="file:///home/jason/mm-parts-index/invoices/2025-12-10-Tokio%20Marine%20Insurance%20Singapore%20Ltd-PEUGEOT-107.PDF" TargetMode="External"/><Relationship Id="rId82" Type="http://schemas.openxmlformats.org/officeDocument/2006/relationships/hyperlink" Target="file:///home/jason/mm-parts-index/invoices/2025-12-10-Tokio%20Marine%20Insurance%20Singapore%20Ltd-PEUGEOT-107.PDF" TargetMode="External"/><Relationship Id="rId83" Type="http://schemas.openxmlformats.org/officeDocument/2006/relationships/hyperlink" Target="file:///home/jason/mm-parts-index/invoices/2025-12-10-Tokio%20Marine%20Insurance%20Singapore%20Ltd-PEUGEOT-107.PDF" TargetMode="External"/><Relationship Id="rId84" Type="http://schemas.openxmlformats.org/officeDocument/2006/relationships/hyperlink" Target="file:///home/jason/mm-parts-index/invoices/2025-12-10-Tokio%20Marine%20Insurance%20Singapore%20Ltd-PEUGEOT-107.PDF" TargetMode="External"/><Relationship Id="rId85" Type="http://schemas.openxmlformats.org/officeDocument/2006/relationships/hyperlink" Target="file:///home/jason/mm-parts-index/invoices/2025-12-10-Tokio%20Marine%20Insurance%20Singapore%20Ltd-PEUGEOT-107.PDF" TargetMode="External"/><Relationship Id="rId86" Type="http://schemas.openxmlformats.org/officeDocument/2006/relationships/hyperlink" Target="file:///home/jason/mm-parts-index/invoices/2025-09-27-AIG%20Asia%20Pacific%20Insurance%20Pte.%20Ltd.-SUZUKI-32.PDF" TargetMode="External"/><Relationship Id="rId87" Type="http://schemas.openxmlformats.org/officeDocument/2006/relationships/hyperlink" Target="file:///home/jason/mm-parts-index/invoices/2026-02-11-Allianz%20Insurance%20Singapore%20Pte.%20Ltd.-TOYOTA-176.PDF" TargetMode="External"/><Relationship Id="rId88" Type="http://schemas.openxmlformats.org/officeDocument/2006/relationships/hyperlink" Target="file:///home/jason/mm-parts-index/invoices/2025-09-26-EQ%20Insurance%20Company%20Ltd-MITSUBISHI-25.PDF" TargetMode="External"/><Relationship Id="rId89" Type="http://schemas.openxmlformats.org/officeDocument/2006/relationships/hyperlink" Target="file:///home/jason/mm-parts-index/invoices/2025-09-26-EQ%20Insurance%20Company%20Ltd-MITSUBISHI-25.PDF" TargetMode="External"/><Relationship Id="rId90" Type="http://schemas.openxmlformats.org/officeDocument/2006/relationships/hyperlink" Target="file:///home/jason/mm-parts-index/invoices/2025-09-26-EQ%20Insurance%20Company%20Ltd-MITSUBISHI-25.PDF" TargetMode="External"/><Relationship Id="rId91" Type="http://schemas.openxmlformats.org/officeDocument/2006/relationships/hyperlink" Target="file:///home/jason/mm-parts-index/invoices/2025-09-26-EQ%20Insurance%20Company%20Ltd-MITSUBISHI-25.PDF" TargetMode="External"/><Relationship Id="rId92" Type="http://schemas.openxmlformats.org/officeDocument/2006/relationships/hyperlink" Target="file:///home/jason/mm-parts-index/invoices/2025-09-26-EQ%20Insurance%20Company%20Ltd-MITSUBISHI-25.PDF" TargetMode="External"/><Relationship Id="rId93" Type="http://schemas.openxmlformats.org/officeDocument/2006/relationships/hyperlink" Target="file:///home/jason/mm-parts-index/invoices/2025-09-26-EQ%20Insurance%20Company%20Ltd-MITSUBISHI-25.PDF" TargetMode="External"/><Relationship Id="rId94" Type="http://schemas.openxmlformats.org/officeDocument/2006/relationships/hyperlink" Target="file:///home/jason/mm-parts-index/invoices/2025-09-26-EQ%20Insurance%20Company%20Ltd-MITSUBISHI-25.PDF" TargetMode="External"/><Relationship Id="rId95" Type="http://schemas.openxmlformats.org/officeDocument/2006/relationships/hyperlink" Target="file:///home/jason/mm-parts-index/invoices/2025-09-26-EQ%20Insurance%20Company%20Ltd-MITSUBISHI-25.PDF" TargetMode="External"/><Relationship Id="rId96" Type="http://schemas.openxmlformats.org/officeDocument/2006/relationships/hyperlink" Target="file:///home/jason/mm-parts-index/invoices/2025-09-26-EQ%20Insurance%20Company%20Ltd-MITSUBISHI-25.PDF" TargetMode="External"/><Relationship Id="rId97" Type="http://schemas.openxmlformats.org/officeDocument/2006/relationships/hyperlink" Target="file:///home/jason/mm-parts-index/invoices/2025-09-26-EQ%20Insurance%20Company%20Ltd-MITSUBISHI-25.PDF" TargetMode="External"/><Relationship Id="rId98" Type="http://schemas.openxmlformats.org/officeDocument/2006/relationships/hyperlink" Target="file:///home/jason/mm-parts-index/invoices/2025-09-26-EQ%20Insurance%20Company%20Ltd-MITSUBISHI-25.PDF" TargetMode="External"/><Relationship Id="rId99" Type="http://schemas.openxmlformats.org/officeDocument/2006/relationships/hyperlink" Target="file:///home/jason/mm-parts-index/invoices/2025-09-26-EQ%20Insurance%20Company%20Ltd-MITSUBISHI-25.PDF" TargetMode="External"/><Relationship Id="rId100" Type="http://schemas.openxmlformats.org/officeDocument/2006/relationships/hyperlink" Target="file:///home/jason/mm-parts-index/invoices/2025-09-26-EQ%20Insurance%20Company%20Ltd-MITSUBISHI-25.PDF" TargetMode="External"/><Relationship Id="rId101" Type="http://schemas.openxmlformats.org/officeDocument/2006/relationships/hyperlink" Target="file:///home/jason/mm-parts-index/invoices/2025-09-26-EQ%20Insurance%20Company%20Ltd-MITSUBISHI-25.PDF" TargetMode="External"/><Relationship Id="rId102" Type="http://schemas.openxmlformats.org/officeDocument/2006/relationships/hyperlink" Target="file:///home/jason/mm-parts-index/invoices/2025-09-26-EQ%20Insurance%20Company%20Ltd-MITSUBISHI-25.PDF" TargetMode="External"/><Relationship Id="rId103" Type="http://schemas.openxmlformats.org/officeDocument/2006/relationships/hyperlink" Target="file:///home/jason/mm-parts-index/invoices/2025-09-26-EQ%20Insurance%20Company%20Ltd-MITSUBISHI-25.PDF" TargetMode="External"/><Relationship Id="rId104" Type="http://schemas.openxmlformats.org/officeDocument/2006/relationships/hyperlink" Target="file:///home/jason/mm-parts-index/invoices/2025-09-26-EQ%20Insurance%20Company%20Ltd-MITSUBISHI-25.PDF" TargetMode="External"/><Relationship Id="rId105" Type="http://schemas.openxmlformats.org/officeDocument/2006/relationships/hyperlink" Target="file:///home/jason/mm-parts-index/invoices/2025-09-26-EQ%20Insurance%20Company%20Ltd-MITSUBISHI-25.PDF" TargetMode="External"/><Relationship Id="rId106" Type="http://schemas.openxmlformats.org/officeDocument/2006/relationships/hyperlink" Target="file:///home/jason/mm-parts-index/invoices/2025-09-26-EQ%20Insurance%20Company%20Ltd-MITSUBISHI-25.PDF" TargetMode="External"/><Relationship Id="rId107" Type="http://schemas.openxmlformats.org/officeDocument/2006/relationships/hyperlink" Target="file:///home/jason/mm-parts-index/invoices/2025-09-26-EQ%20Insurance%20Company%20Ltd-MITSUBISHI-25.PDF" TargetMode="External"/><Relationship Id="rId108" Type="http://schemas.openxmlformats.org/officeDocument/2006/relationships/hyperlink" Target="file:///home/jason/mm-parts-index/invoices/2025-09-26-EQ%20Insurance%20Company%20Ltd-MITSUBISHI-25.PDF" TargetMode="External"/><Relationship Id="rId109" Type="http://schemas.openxmlformats.org/officeDocument/2006/relationships/hyperlink" Target="file:///home/jason/mm-parts-index/invoices/2025-09-26-EQ%20Insurance%20Company%20Ltd-MITSUBISHI-25.PDF" TargetMode="External"/><Relationship Id="rId110" Type="http://schemas.openxmlformats.org/officeDocument/2006/relationships/hyperlink" Target="file:///home/jason/mm-parts-index/invoices/2025-09-26-EQ%20Insurance%20Company%20Ltd-MITSUBISHI-25.PDF" TargetMode="External"/><Relationship Id="rId111" Type="http://schemas.openxmlformats.org/officeDocument/2006/relationships/hyperlink" Target="file:///home/jason/mm-parts-index/invoices/2025-09-26-EQ%20Insurance%20Company%20Ltd-MITSUBISHI-25.PDF" TargetMode="External"/><Relationship Id="rId112" Type="http://schemas.openxmlformats.org/officeDocument/2006/relationships/hyperlink" Target="file:///home/jason/mm-parts-index/invoices/2025-09-26-EQ%20Insurance%20Company%20Ltd-MITSUBISHI-25.PDF" TargetMode="External"/><Relationship Id="rId113" Type="http://schemas.openxmlformats.org/officeDocument/2006/relationships/hyperlink" Target="file:///home/jason/mm-parts-index/invoices/2025-09-26-EQ%20Insurance%20Company%20Ltd-MITSUBISHI-25.PDF" TargetMode="External"/><Relationship Id="rId114" Type="http://schemas.openxmlformats.org/officeDocument/2006/relationships/hyperlink" Target="file:///home/jason/mm-parts-index/invoices/2025-09-26-EQ%20Insurance%20Company%20Ltd-MITSUBISHI-25.PDF" TargetMode="External"/><Relationship Id="rId115" Type="http://schemas.openxmlformats.org/officeDocument/2006/relationships/hyperlink" Target="file:///home/jason/mm-parts-index/invoices/2025-09-26-EQ%20Insurance%20Company%20Ltd-MITSUBISHI-25.PDF" TargetMode="External"/><Relationship Id="rId116" Type="http://schemas.openxmlformats.org/officeDocument/2006/relationships/hyperlink" Target="file:///home/jason/mm-parts-index/invoices/2025-09-26-EQ%20Insurance%20Company%20Ltd-MITSUBISHI-25.PDF" TargetMode="External"/><Relationship Id="rId117" Type="http://schemas.openxmlformats.org/officeDocument/2006/relationships/hyperlink" Target="file:///home/jason/mm-parts-index/invoices/2025-09-26-EQ%20Insurance%20Company%20Ltd-MITSUBISHI-25.PDF" TargetMode="External"/><Relationship Id="rId118" Type="http://schemas.openxmlformats.org/officeDocument/2006/relationships/hyperlink" Target="file:///home/jason/mm-parts-index/invoices/2025-09-26-EQ%20Insurance%20Company%20Ltd-MITSUBISHI-25.PDF" TargetMode="External"/><Relationship Id="rId119" Type="http://schemas.openxmlformats.org/officeDocument/2006/relationships/hyperlink" Target="file:///home/jason/mm-parts-index/invoices/2025-09-26-EQ%20Insurance%20Company%20Ltd-MITSUBISHI-25.PDF" TargetMode="External"/><Relationship Id="rId120" Type="http://schemas.openxmlformats.org/officeDocument/2006/relationships/hyperlink" Target="file:///home/jason/mm-parts-index/invoices/2025-09-26-EQ%20Insurance%20Company%20Ltd-MITSUBISHI-25.PDF" TargetMode="External"/><Relationship Id="rId121" Type="http://schemas.openxmlformats.org/officeDocument/2006/relationships/hyperlink" Target="file:///home/jason/mm-parts-index/invoices/2025-09-26-EQ%20Insurance%20Company%20Ltd-MITSUBISHI-25.PDF" TargetMode="External"/><Relationship Id="rId122" Type="http://schemas.openxmlformats.org/officeDocument/2006/relationships/hyperlink" Target="file:///home/jason/mm-parts-index/invoices/2025-09-26-EQ%20Insurance%20Company%20Ltd-MITSUBISHI-25.PDF" TargetMode="External"/><Relationship Id="rId123" Type="http://schemas.openxmlformats.org/officeDocument/2006/relationships/hyperlink" Target="file:///home/jason/mm-parts-index/invoices/2025-09-26-EQ%20Insurance%20Company%20Ltd-MITSUBISHI-25.PDF" TargetMode="External"/><Relationship Id="rId124" Type="http://schemas.openxmlformats.org/officeDocument/2006/relationships/hyperlink" Target="file:///home/jason/mm-parts-index/invoices/2025-09-26-EQ%20Insurance%20Company%20Ltd-MITSUBISHI-25.PDF" TargetMode="External"/><Relationship Id="rId125" Type="http://schemas.openxmlformats.org/officeDocument/2006/relationships/hyperlink" Target="file:///home/jason/mm-parts-index/invoices/2025-09-26-EQ%20Insurance%20Company%20Ltd-MITSUBISHI-25.PDF" TargetMode="External"/><Relationship Id="rId126" Type="http://schemas.openxmlformats.org/officeDocument/2006/relationships/hyperlink" Target="file:///home/jason/mm-parts-index/invoices/2025-09-26-EQ%20Insurance%20Company%20Ltd-MITSUBISHI-25.PDF" TargetMode="External"/><Relationship Id="rId127" Type="http://schemas.openxmlformats.org/officeDocument/2006/relationships/hyperlink" Target="file:///home/jason/mm-parts-index/invoices/2025-09-26-EQ%20Insurance%20Company%20Ltd-MITSUBISHI-25.PDF" TargetMode="External"/><Relationship Id="rId128" Type="http://schemas.openxmlformats.org/officeDocument/2006/relationships/hyperlink" Target="file:///home/jason/mm-parts-index/invoices/2025-09-26-EQ%20Insurance%20Company%20Ltd-MITSUBISHI-25.PDF" TargetMode="External"/><Relationship Id="rId129" Type="http://schemas.openxmlformats.org/officeDocument/2006/relationships/hyperlink" Target="file:///home/jason/mm-parts-index/invoices/2025-09-26-EQ%20Insurance%20Company%20Ltd-MITSUBISHI-25.PDF" TargetMode="External"/><Relationship Id="rId130" Type="http://schemas.openxmlformats.org/officeDocument/2006/relationships/hyperlink" Target="file:///home/jason/mm-parts-index/invoices/2026-01-20-Singapore%20Life%20Ltd-SKODA-145.PDF" TargetMode="External"/><Relationship Id="rId131" Type="http://schemas.openxmlformats.org/officeDocument/2006/relationships/hyperlink" Target="file:///home/jason/mm-parts-index/invoices/2026-01-20-Singapore%20Life%20Ltd-SKODA-145.PDF" TargetMode="External"/><Relationship Id="rId132" Type="http://schemas.openxmlformats.org/officeDocument/2006/relationships/hyperlink" Target="file:///home/jason/mm-parts-index/invoices/2026-01-20-Singapore%20Life%20Ltd-SKODA-145.PDF" TargetMode="External"/><Relationship Id="rId133" Type="http://schemas.openxmlformats.org/officeDocument/2006/relationships/hyperlink" Target="file:///home/jason/mm-parts-index/invoices/2026-01-20-Singapore%20Life%20Ltd-SKODA-145.PDF" TargetMode="External"/><Relationship Id="rId134" Type="http://schemas.openxmlformats.org/officeDocument/2006/relationships/hyperlink" Target="file:///home/jason/mm-parts-index/invoices/2026-01-20-Singapore%20Life%20Ltd-SKODA-145.PDF" TargetMode="External"/><Relationship Id="rId135" Type="http://schemas.openxmlformats.org/officeDocument/2006/relationships/hyperlink" Target="file:///home/jason/mm-parts-index/invoices/2026-01-20-Singapore%20Life%20Ltd-SKODA-145.PDF" TargetMode="External"/><Relationship Id="rId136" Type="http://schemas.openxmlformats.org/officeDocument/2006/relationships/hyperlink" Target="file:///home/jason/mm-parts-index/invoices/2026-01-20-Singapore%20Life%20Ltd-SKODA-145.PDF" TargetMode="External"/><Relationship Id="rId137" Type="http://schemas.openxmlformats.org/officeDocument/2006/relationships/hyperlink" Target="file:///home/jason/mm-parts-index/invoices/2026-01-20-Singapore%20Life%20Ltd-SKODA-145.PDF" TargetMode="External"/><Relationship Id="rId138" Type="http://schemas.openxmlformats.org/officeDocument/2006/relationships/hyperlink" Target="file:///home/jason/mm-parts-index/invoices/2025-10-03-AIG%20Asia%20Pacific%20Insurance%20Pte.%20Ltd.-MAZDA-38.PDF" TargetMode="External"/><Relationship Id="rId139" Type="http://schemas.openxmlformats.org/officeDocument/2006/relationships/hyperlink" Target="file:///home/jason/mm-parts-index/invoices/2026-01-29-Great%20Eastern%20General%20Insurance%20Limited-MERCEDES-BENZ-150.PDF" TargetMode="External"/><Relationship Id="rId140" Type="http://schemas.openxmlformats.org/officeDocument/2006/relationships/hyperlink" Target="file:///home/jason/mm-parts-index/invoices/2026-01-08-AIG%20Asia%20Pacific%20Insurance%20Pte.%20Ltd.-SUBARU-138.PDF" TargetMode="External"/><Relationship Id="rId141" Type="http://schemas.openxmlformats.org/officeDocument/2006/relationships/hyperlink" Target="file:///home/jason/mm-parts-index/invoices/2026-01-08-AIG%20Asia%20Pacific%20Insurance%20Pte.%20Ltd.-SUBARU-138.PDF" TargetMode="External"/><Relationship Id="rId142" Type="http://schemas.openxmlformats.org/officeDocument/2006/relationships/hyperlink" Target="file:///home/jason/mm-parts-index/invoices/2026-01-08-AIG%20Asia%20Pacific%20Insurance%20Pte.%20Ltd.-SUBARU-138.PDF" TargetMode="External"/><Relationship Id="rId143" Type="http://schemas.openxmlformats.org/officeDocument/2006/relationships/hyperlink" Target="file:///home/jason/mm-parts-index/invoices/2025-12-26-Etiqa%20Insurance%20Pte%20Ltd-KIA-126.JPG" TargetMode="External"/><Relationship Id="rId144" Type="http://schemas.openxmlformats.org/officeDocument/2006/relationships/hyperlink" Target="file:///home/jason/mm-parts-index/invoices/2025-12-26-Etiqa%20Insurance%20Pte%20Ltd-KIA-126.JPG" TargetMode="External"/><Relationship Id="rId145" Type="http://schemas.openxmlformats.org/officeDocument/2006/relationships/hyperlink" Target="file:///home/jason/mm-parts-index/invoices/2025-12-26-Etiqa%20Insurance%20Pte%20Ltd-KIA-126.JPG" TargetMode="External"/><Relationship Id="rId146" Type="http://schemas.openxmlformats.org/officeDocument/2006/relationships/hyperlink" Target="file:///home/jason/mm-parts-index/invoices/2025-12-26-Etiqa%20Insurance%20Pte%20Ltd-KIA-126.JPG" TargetMode="External"/><Relationship Id="rId147" Type="http://schemas.openxmlformats.org/officeDocument/2006/relationships/hyperlink" Target="file:///home/jason/mm-parts-index/invoices/2025-12-26-Etiqa%20Insurance%20Pte%20Ltd-KIA-126.JPG" TargetMode="External"/><Relationship Id="rId148" Type="http://schemas.openxmlformats.org/officeDocument/2006/relationships/hyperlink" Target="file:///home/jason/mm-parts-index/invoices/2025-12-26-Etiqa%20Insurance%20Pte%20Ltd-KIA-126.JPG" TargetMode="External"/><Relationship Id="rId149" Type="http://schemas.openxmlformats.org/officeDocument/2006/relationships/hyperlink" Target="file:///home/jason/mm-parts-index/invoices/2025-08-29-HL%20Assurance%20Pte%20Ltd-NISSAN-17.PDF" TargetMode="External"/><Relationship Id="rId150" Type="http://schemas.openxmlformats.org/officeDocument/2006/relationships/hyperlink" Target="file:///home/jason/mm-parts-index/invoices/2025-08-29-HL%20Assurance%20Pte%20Ltd-NISSAN-17.PDF" TargetMode="External"/><Relationship Id="rId151" Type="http://schemas.openxmlformats.org/officeDocument/2006/relationships/hyperlink" Target="file:///home/jason/mm-parts-index/invoices/2025-08-29-HL%20Assurance%20Pte%20Ltd-NISSAN-17.PDF" TargetMode="External"/><Relationship Id="rId152" Type="http://schemas.openxmlformats.org/officeDocument/2006/relationships/hyperlink" Target="file:///home/jason/mm-parts-index/invoices/2025-08-29-HL%20Assurance%20Pte%20Ltd-NISSAN-17.PDF" TargetMode="External"/><Relationship Id="rId153" Type="http://schemas.openxmlformats.org/officeDocument/2006/relationships/hyperlink" Target="file:///home/jason/mm-parts-index/invoices/2025-08-29-HL%20Assurance%20Pte%20Ltd-NISSAN-17.PDF" TargetMode="External"/><Relationship Id="rId154" Type="http://schemas.openxmlformats.org/officeDocument/2006/relationships/hyperlink" Target="file:///home/jason/mm-parts-index/invoices/2025-08-29-HL%20Assurance%20Pte%20Ltd-NISSAN-17.PDF" TargetMode="External"/><Relationship Id="rId155" Type="http://schemas.openxmlformats.org/officeDocument/2006/relationships/hyperlink" Target="file:///home/jason/mm-parts-index/invoices/2025-08-29-HL%20Assurance%20Pte%20Ltd-NISSAN-17.PDF" TargetMode="External"/><Relationship Id="rId156" Type="http://schemas.openxmlformats.org/officeDocument/2006/relationships/hyperlink" Target="file:///home/jason/mm-parts-index/invoices/2025-08-29-HL%20Assurance%20Pte%20Ltd-NISSAN-17.PDF" TargetMode="External"/><Relationship Id="rId157" Type="http://schemas.openxmlformats.org/officeDocument/2006/relationships/hyperlink" Target="file:///home/jason/mm-parts-index/invoices/2025-08-29-HL%20Assurance%20Pte%20Ltd-NISSAN-17.PDF" TargetMode="External"/><Relationship Id="rId158" Type="http://schemas.openxmlformats.org/officeDocument/2006/relationships/hyperlink" Target="file:///home/jason/mm-parts-index/invoices/2025-08-29-HL%20Assurance%20Pte%20Ltd-NISSAN-17.PDF" TargetMode="External"/><Relationship Id="rId159" Type="http://schemas.openxmlformats.org/officeDocument/2006/relationships/hyperlink" Target="file:///home/jason/mm-parts-index/invoices/2025-08-29-HL%20Assurance%20Pte%20Ltd-NISSAN-17.PDF" TargetMode="External"/><Relationship Id="rId160" Type="http://schemas.openxmlformats.org/officeDocument/2006/relationships/hyperlink" Target="file:///home/jason/mm-parts-index/invoices/2025-08-29-HL%20Assurance%20Pte%20Ltd-NISSAN-17.PDF" TargetMode="External"/><Relationship Id="rId161" Type="http://schemas.openxmlformats.org/officeDocument/2006/relationships/hyperlink" Target="file:///home/jason/mm-parts-index/invoices/2025-08-29-HL%20Assurance%20Pte%20Ltd-NISSAN-17.PDF" TargetMode="External"/><Relationship Id="rId162" Type="http://schemas.openxmlformats.org/officeDocument/2006/relationships/hyperlink" Target="file:///home/jason/mm-parts-index/invoices/2025-08-29-HL%20Assurance%20Pte%20Ltd-NISSAN-17.PDF" TargetMode="External"/><Relationship Id="rId163" Type="http://schemas.openxmlformats.org/officeDocument/2006/relationships/hyperlink" Target="file:///home/jason/mm-parts-index/invoices/2025-12-02-Allianz%20Insurance%20Singapore%20Pte.%20Ltd.-TESLA-100.JPG" TargetMode="External"/><Relationship Id="rId164" Type="http://schemas.openxmlformats.org/officeDocument/2006/relationships/hyperlink" Target="file:///home/jason/mm-parts-index/invoices/2025-12-02-Allianz%20Insurance%20Singapore%20Pte.%20Ltd.-TESLA-100.JPG" TargetMode="External"/><Relationship Id="rId165" Type="http://schemas.openxmlformats.org/officeDocument/2006/relationships/hyperlink" Target="file:///home/jason/mm-parts-index/invoices/2025-12-02-Allianz%20Insurance%20Singapore%20Pte.%20Ltd.-TESLA-100.JPG" TargetMode="External"/><Relationship Id="rId166" Type="http://schemas.openxmlformats.org/officeDocument/2006/relationships/hyperlink" Target="file:///home/jason/mm-parts-index/invoices/2025-12-02-Allianz%20Insurance%20Singapore%20Pte.%20Ltd.-TESLA-100.JPG" TargetMode="External"/><Relationship Id="rId167" Type="http://schemas.openxmlformats.org/officeDocument/2006/relationships/hyperlink" Target="file:///home/jason/mm-parts-index/invoices/2025-12-02-Allianz%20Insurance%20Singapore%20Pte.%20Ltd.-TESLA-100.JPG" TargetMode="External"/><Relationship Id="rId168" Type="http://schemas.openxmlformats.org/officeDocument/2006/relationships/hyperlink" Target="file:///home/jason/mm-parts-index/invoices/2025-12-02-Allianz%20Insurance%20Singapore%20Pte.%20Ltd.-TESLA-100.JPG" TargetMode="External"/><Relationship Id="rId169" Type="http://schemas.openxmlformats.org/officeDocument/2006/relationships/hyperlink" Target="file:///home/jason/mm-parts-index/invoices/2025-12-02-Allianz%20Insurance%20Singapore%20Pte.%20Ltd.-TESLA-100.JPG" TargetMode="External"/><Relationship Id="rId170" Type="http://schemas.openxmlformats.org/officeDocument/2006/relationships/hyperlink" Target="file:///home/jason/mm-parts-index/invoices/2025-12-02-Allianz%20Insurance%20Singapore%20Pte.%20Ltd.-SCANIA-93.PDF" TargetMode="External"/><Relationship Id="rId171" Type="http://schemas.openxmlformats.org/officeDocument/2006/relationships/hyperlink" Target="file:///home/jason/mm-parts-index/invoices/2025-12-02-Allianz%20Insurance%20Singapore%20Pte.%20Ltd.-SCANIA-93.PDF" TargetMode="External"/><Relationship Id="rId172" Type="http://schemas.openxmlformats.org/officeDocument/2006/relationships/hyperlink" Target="file:///home/jason/mm-parts-index/invoices/2025-11-21-EQ%20Insurance%20Company%20Ltd-LEXUS-78.PDF" TargetMode="External"/><Relationship Id="rId173" Type="http://schemas.openxmlformats.org/officeDocument/2006/relationships/hyperlink" Target="file:///home/jason/mm-parts-index/invoices/2025-11-21-EQ%20Insurance%20Company%20Ltd-LEXUS-78.PDF" TargetMode="External"/><Relationship Id="rId174" Type="http://schemas.openxmlformats.org/officeDocument/2006/relationships/hyperlink" Target="file:///home/jason/mm-parts-index/invoices/2025-11-21-EQ%20Insurance%20Company%20Ltd-LEXUS-78.PDF" TargetMode="External"/><Relationship Id="rId175" Type="http://schemas.openxmlformats.org/officeDocument/2006/relationships/hyperlink" Target="file:///home/jason/mm-parts-index/invoices/2025-11-21-EQ%20Insurance%20Company%20Ltd-LEXUS-78.PDF" TargetMode="External"/><Relationship Id="rId176" Type="http://schemas.openxmlformats.org/officeDocument/2006/relationships/hyperlink" Target="file:///home/jason/mm-parts-index/invoices/2025-11-21-EQ%20Insurance%20Company%20Ltd-LEXUS-78.PDF" TargetMode="External"/><Relationship Id="rId177" Type="http://schemas.openxmlformats.org/officeDocument/2006/relationships/hyperlink" Target="file:///home/jason/mm-parts-index/invoices/2025-11-21-EQ%20Insurance%20Company%20Ltd-LEXUS-78.PDF" TargetMode="External"/><Relationship Id="rId178" Type="http://schemas.openxmlformats.org/officeDocument/2006/relationships/hyperlink" Target="file:///home/jason/mm-parts-index/invoices/2025-11-21-EQ%20Insurance%20Company%20Ltd-LEXUS-78.PDF" TargetMode="External"/><Relationship Id="rId179" Type="http://schemas.openxmlformats.org/officeDocument/2006/relationships/hyperlink" Target="file:///home/jason/mm-parts-index/invoices/2025-11-21-EQ%20Insurance%20Company%20Ltd-LEXUS-78.PDF" TargetMode="External"/><Relationship Id="rId180" Type="http://schemas.openxmlformats.org/officeDocument/2006/relationships/hyperlink" Target="file:///home/jason/mm-parts-index/invoices/2025-11-21-EQ%20Insurance%20Company%20Ltd-LEXUS-78.PDF" TargetMode="External"/><Relationship Id="rId181" Type="http://schemas.openxmlformats.org/officeDocument/2006/relationships/hyperlink" Target="file:///home/jason/mm-parts-index/invoices/2025-11-21-EQ%20Insurance%20Company%20Ltd-LEXUS-78.PDF" TargetMode="External"/><Relationship Id="rId182" Type="http://schemas.openxmlformats.org/officeDocument/2006/relationships/hyperlink" Target="file:///home/jason/mm-parts-index/invoices/2025-11-21-EQ%20Insurance%20Company%20Ltd-LEXUS-78.PDF" TargetMode="External"/><Relationship Id="rId183" Type="http://schemas.openxmlformats.org/officeDocument/2006/relationships/hyperlink" Target="file:///home/jason/mm-parts-index/invoices/2025-11-21-EQ%20Insurance%20Company%20Ltd-LEXUS-78.PDF" TargetMode="External"/><Relationship Id="rId184" Type="http://schemas.openxmlformats.org/officeDocument/2006/relationships/hyperlink" Target="file:///home/jason/mm-parts-index/invoices/2025-11-21-EQ%20Insurance%20Company%20Ltd-LEXUS-78.PDF" TargetMode="External"/><Relationship Id="rId185" Type="http://schemas.openxmlformats.org/officeDocument/2006/relationships/hyperlink" Target="file:///home/jason/mm-parts-index/invoices/2025-11-21-EQ%20Insurance%20Company%20Ltd-LEXUS-78.PDF" TargetMode="External"/><Relationship Id="rId186" Type="http://schemas.openxmlformats.org/officeDocument/2006/relationships/hyperlink" Target="file:///home/jason/mm-parts-index/invoices/2025-11-21-EQ%20Insurance%20Company%20Ltd-LEXUS-78.PDF" TargetMode="External"/><Relationship Id="rId187" Type="http://schemas.openxmlformats.org/officeDocument/2006/relationships/hyperlink" Target="file:///home/jason/mm-parts-index/invoices/2025-11-21-EQ%20Insurance%20Company%20Ltd-LEXUS-78.PDF" TargetMode="External"/><Relationship Id="rId188" Type="http://schemas.openxmlformats.org/officeDocument/2006/relationships/hyperlink" Target="file:///home/jason/mm-parts-index/invoices/2025-11-21-EQ%20Insurance%20Company%20Ltd-LEXUS-78.PDF" TargetMode="External"/><Relationship Id="rId189" Type="http://schemas.openxmlformats.org/officeDocument/2006/relationships/hyperlink" Target="file:///home/jason/mm-parts-index/invoices/2025-12-10-Allianz%20Insurance%20Singapore%20Pte.%20Ltd.-BMW-116.PDF" TargetMode="External"/><Relationship Id="rId190" Type="http://schemas.openxmlformats.org/officeDocument/2006/relationships/hyperlink" Target="file:///home/jason/mm-parts-index/invoices/2025-12-10-Allianz%20Insurance%20Singapore%20Pte.%20Ltd.-BMW-116.PDF" TargetMode="External"/><Relationship Id="rId191" Type="http://schemas.openxmlformats.org/officeDocument/2006/relationships/hyperlink" Target="file:///home/jason/mm-parts-index/invoices/2026-01-08-Etiqa%20Insurance%20Pte%20Ltd-BYD-137.PDF" TargetMode="External"/><Relationship Id="rId192" Type="http://schemas.openxmlformats.org/officeDocument/2006/relationships/hyperlink" Target="file:///home/jason/mm-parts-index/invoices/2026-01-08-Etiqa%20Insurance%20Pte%20Ltd-BYD-137.PDF" TargetMode="External"/><Relationship Id="rId193" Type="http://schemas.openxmlformats.org/officeDocument/2006/relationships/hyperlink" Target="file:///home/jason/mm-parts-index/invoices/2026-01-08-Etiqa%20Insurance%20Pte%20Ltd-BYD-137.PDF" TargetMode="External"/><Relationship Id="rId194" Type="http://schemas.openxmlformats.org/officeDocument/2006/relationships/hyperlink" Target="file:///home/jason/mm-parts-index/invoices/2026-01-08-Etiqa%20Insurance%20Pte%20Ltd-BYD-137.PDF" TargetMode="External"/><Relationship Id="rId195" Type="http://schemas.openxmlformats.org/officeDocument/2006/relationships/hyperlink" Target="file:///home/jason/mm-parts-index/invoices/2025-11-07-Tokio%20Marine%20Insurance%20Singapore%20Ltd-HYUNDAI-67.PDF" TargetMode="External"/><Relationship Id="rId196" Type="http://schemas.openxmlformats.org/officeDocument/2006/relationships/hyperlink" Target="file:///home/jason/mm-parts-index/invoices/2025-11-07-Tokio%20Marine%20Insurance%20Singapore%20Ltd-HYUNDAI-67.PDF" TargetMode="External"/><Relationship Id="rId197" Type="http://schemas.openxmlformats.org/officeDocument/2006/relationships/hyperlink" Target="file:///home/jason/mm-parts-index/invoices/2025-11-07-Tokio%20Marine%20Insurance%20Singapore%20Ltd-HYUNDAI-67.PDF" TargetMode="External"/><Relationship Id="rId198" Type="http://schemas.openxmlformats.org/officeDocument/2006/relationships/hyperlink" Target="file:///home/jason/mm-parts-index/invoices/2025-11-07-Tokio%20Marine%20Insurance%20Singapore%20Ltd-HYUNDAI-67.PDF" TargetMode="External"/><Relationship Id="rId199" Type="http://schemas.openxmlformats.org/officeDocument/2006/relationships/hyperlink" Target="file:///home/jason/mm-parts-index/invoices/2025-11-07-Tokio%20Marine%20Insurance%20Singapore%20Ltd-HYUNDAI-67.PDF" TargetMode="External"/><Relationship Id="rId200" Type="http://schemas.openxmlformats.org/officeDocument/2006/relationships/hyperlink" Target="file:///home/jason/mm-parts-index/invoices/2025-11-07-Tokio%20Marine%20Insurance%20Singapore%20Ltd-HYUNDAI-67.PDF" TargetMode="External"/><Relationship Id="rId201" Type="http://schemas.openxmlformats.org/officeDocument/2006/relationships/hyperlink" Target="file:///home/jason/mm-parts-index/invoices/2025-11-07-Tokio%20Marine%20Insurance%20Singapore%20Ltd-HYUNDAI-67.PDF" TargetMode="External"/><Relationship Id="rId202" Type="http://schemas.openxmlformats.org/officeDocument/2006/relationships/hyperlink" Target="file:///home/jason/mm-parts-index/invoices/2025-11-07-Tokio%20Marine%20Insurance%20Singapore%20Ltd-HYUNDAI-67.PDF" TargetMode="External"/><Relationship Id="rId203" Type="http://schemas.openxmlformats.org/officeDocument/2006/relationships/hyperlink" Target="file:///home/jason/mm-parts-index/invoices/2025-11-07-Tokio%20Marine%20Insurance%20Singapore%20Ltd-HYUNDAI-67.PDF" TargetMode="External"/><Relationship Id="rId204" Type="http://schemas.openxmlformats.org/officeDocument/2006/relationships/hyperlink" Target="file:///home/jason/mm-parts-index/invoices/2025-11-07-Tokio%20Marine%20Insurance%20Singapore%20Ltd-HYUNDAI-67.PDF" TargetMode="External"/><Relationship Id="rId205" Type="http://schemas.openxmlformats.org/officeDocument/2006/relationships/hyperlink" Target="file:///home/jason/mm-parts-index/invoices/2025-11-07-Tokio%20Marine%20Insurance%20Singapore%20Ltd-HYUNDAI-67.PDF" TargetMode="External"/><Relationship Id="rId206" Type="http://schemas.openxmlformats.org/officeDocument/2006/relationships/hyperlink" Target="file:///home/jason/mm-parts-index/invoices/2025-11-07-Tokio%20Marine%20Insurance%20Singapore%20Ltd-HYUNDAI-67.PDF" TargetMode="External"/><Relationship Id="rId207" Type="http://schemas.openxmlformats.org/officeDocument/2006/relationships/hyperlink" Target="file:///home/jason/mm-parts-index/invoices/2025-11-07-Tokio%20Marine%20Insurance%20Singapore%20Ltd-HYUNDAI-67.PDF" TargetMode="External"/><Relationship Id="rId208" Type="http://schemas.openxmlformats.org/officeDocument/2006/relationships/hyperlink" Target="file:///home/jason/mm-parts-index/invoices/2025-11-07-Tokio%20Marine%20Insurance%20Singapore%20Ltd-HYUNDAI-67.PDF" TargetMode="External"/><Relationship Id="rId209" Type="http://schemas.openxmlformats.org/officeDocument/2006/relationships/hyperlink" Target="file:///home/jason/mm-parts-index/invoices/2025-10-16-Allianz%20Insurance%20Singapore%20Pte.%20Ltd.-VOLKSWAGEN-52.PDF" TargetMode="External"/><Relationship Id="rId210" Type="http://schemas.openxmlformats.org/officeDocument/2006/relationships/hyperlink" Target="file:///home/jason/mm-parts-index/invoices/2026-01-15-AIG%20Asia%20Pacific%20Insurance%20Pte.%20Ltd.-HONDA-142.PDF" TargetMode="External"/><Relationship Id="rId211" Type="http://schemas.openxmlformats.org/officeDocument/2006/relationships/hyperlink" Target="file:///home/jason/mm-parts-index/invoices/2026-01-15-AIG%20Asia%20Pacific%20Insurance%20Pte.%20Ltd.-HONDA-142.PDF" TargetMode="External"/><Relationship Id="rId212" Type="http://schemas.openxmlformats.org/officeDocument/2006/relationships/hyperlink" Target="file:///home/jason/mm-parts-index/invoices/2026-01-15-AIG%20Asia%20Pacific%20Insurance%20Pte.%20Ltd.-HONDA-142.PDF" TargetMode="External"/><Relationship Id="rId213" Type="http://schemas.openxmlformats.org/officeDocument/2006/relationships/hyperlink" Target="file:///home/jason/mm-parts-index/invoices/2026-01-15-AIG%20Asia%20Pacific%20Insurance%20Pte.%20Ltd.-HONDA-142.PDF" TargetMode="External"/><Relationship Id="rId214" Type="http://schemas.openxmlformats.org/officeDocument/2006/relationships/hyperlink" Target="file:///home/jason/mm-parts-index/invoices/2026-01-15-AIG%20Asia%20Pacific%20Insurance%20Pte.%20Ltd.-HONDA-142.PDF" TargetMode="External"/><Relationship Id="rId215" Type="http://schemas.openxmlformats.org/officeDocument/2006/relationships/hyperlink" Target="file:///home/jason/mm-parts-index/invoices/2026-01-15-AIG%20Asia%20Pacific%20Insurance%20Pte.%20Ltd.-HONDA-142.PDF" TargetMode="External"/><Relationship Id="rId216" Type="http://schemas.openxmlformats.org/officeDocument/2006/relationships/hyperlink" Target="file:///home/jason/mm-parts-index/invoices/2026-02-11-Allianz%20Insurance%20Singapore%20Pte.%20Ltd.-TOYOTA-175.PDF" TargetMode="External"/><Relationship Id="rId217" Type="http://schemas.openxmlformats.org/officeDocument/2006/relationships/hyperlink" Target="file:///home/jason/mm-parts-index/invoices/2026-02-09-Allianz%20Insurance%20Singapore%20Pte.%20Ltd.-TESLA-155.PDF" TargetMode="External"/><Relationship Id="rId218" Type="http://schemas.openxmlformats.org/officeDocument/2006/relationships/hyperlink" Target="file:///home/jason/mm-parts-index/invoices/2026-02-09-Allianz%20Insurance%20Singapore%20Pte.%20Ltd.-TESLA-155.PDF" TargetMode="External"/><Relationship Id="rId219" Type="http://schemas.openxmlformats.org/officeDocument/2006/relationships/hyperlink" Target="file:///home/jason/mm-parts-index/invoices/2026-02-09-Allianz%20Insurance%20Singapore%20Pte.%20Ltd.-TESLA-155.PDF" TargetMode="External"/><Relationship Id="rId220" Type="http://schemas.openxmlformats.org/officeDocument/2006/relationships/hyperlink" Target="file:///home/jason/mm-parts-index/invoices/2026-02-09-Allianz%20Insurance%20Singapore%20Pte.%20Ltd.-TESLA-155.PDF" TargetMode="External"/><Relationship Id="rId221" Type="http://schemas.openxmlformats.org/officeDocument/2006/relationships/hyperlink" Target="file:///home/jason/mm-parts-index/invoices/2026-02-09-Allianz%20Insurance%20Singapore%20Pte.%20Ltd.-TESLA-155.PDF" TargetMode="External"/><Relationship Id="rId222" Type="http://schemas.openxmlformats.org/officeDocument/2006/relationships/hyperlink" Target="file:///home/jason/mm-parts-index/invoices/2026-02-09-Allianz%20Insurance%20Singapore%20Pte.%20Ltd.-TESLA-155.PDF" TargetMode="External"/><Relationship Id="rId223" Type="http://schemas.openxmlformats.org/officeDocument/2006/relationships/hyperlink" Target="file:///home/jason/mm-parts-index/invoices/2026-02-09-Allianz%20Insurance%20Singapore%20Pte.%20Ltd.-TESLA-155.PDF" TargetMode="External"/><Relationship Id="rId224" Type="http://schemas.openxmlformats.org/officeDocument/2006/relationships/hyperlink" Target="file:///home/jason/mm-parts-index/invoices/2026-02-09-Allianz%20Insurance%20Singapore%20Pte.%20Ltd.-TESLA-155.PDF" TargetMode="External"/><Relationship Id="rId225" Type="http://schemas.openxmlformats.org/officeDocument/2006/relationships/hyperlink" Target="file:///home/jason/mm-parts-index/invoices/2026-02-09-Allianz%20Insurance%20Singapore%20Pte.%20Ltd.-TESLA-155.PDF" TargetMode="External"/><Relationship Id="rId226" Type="http://schemas.openxmlformats.org/officeDocument/2006/relationships/hyperlink" Target="file:///home/jason/mm-parts-index/invoices/2026-02-09-Allianz%20Insurance%20Singapore%20Pte.%20Ltd.-TESLA-155.PDF" TargetMode="External"/><Relationship Id="rId227" Type="http://schemas.openxmlformats.org/officeDocument/2006/relationships/hyperlink" Target="file:///home/jason/mm-parts-index/invoices/2026-02-09-Allianz%20Insurance%20Singapore%20Pte.%20Ltd.-TESLA-155.PDF" TargetMode="External"/><Relationship Id="rId228" Type="http://schemas.openxmlformats.org/officeDocument/2006/relationships/hyperlink" Target="file:///home/jason/mm-parts-index/invoices/2026-02-09-Allianz%20Insurance%20Singapore%20Pte.%20Ltd.-TESLA-155.PDF" TargetMode="External"/><Relationship Id="rId229" Type="http://schemas.openxmlformats.org/officeDocument/2006/relationships/hyperlink" Target="file:///home/jason/mm-parts-index/invoices/2026-02-09-Allianz%20Insurance%20Singapore%20Pte.%20Ltd.-TESLA-155.PDF" TargetMode="External"/><Relationship Id="rId230" Type="http://schemas.openxmlformats.org/officeDocument/2006/relationships/hyperlink" Target="file:///home/jason/mm-parts-index/invoices/2026-02-09-Allianz%20Insurance%20Singapore%20Pte.%20Ltd.-TESLA-155.PDF" TargetMode="External"/><Relationship Id="rId231" Type="http://schemas.openxmlformats.org/officeDocument/2006/relationships/hyperlink" Target="file:///home/jason/mm-parts-index/invoices/2026-02-09-Allianz%20Insurance%20Singapore%20Pte.%20Ltd.-TESLA-155.PDF" TargetMode="External"/><Relationship Id="rId232" Type="http://schemas.openxmlformats.org/officeDocument/2006/relationships/hyperlink" Target="file:///home/jason/mm-parts-index/invoices/2026-02-09-Allianz%20Insurance%20Singapore%20Pte.%20Ltd.-TESLA-173.JPG" TargetMode="External"/><Relationship Id="rId233" Type="http://schemas.openxmlformats.org/officeDocument/2006/relationships/hyperlink" Target="file:///home/jason/mm-parts-index/invoices/2026-02-09-Allianz%20Insurance%20Singapore%20Pte.%20Ltd.-TESLA-173.JPG" TargetMode="External"/><Relationship Id="rId234" Type="http://schemas.openxmlformats.org/officeDocument/2006/relationships/hyperlink" Target="file:///home/jason/mm-parts-index/invoices/2026-02-09-Allianz%20Insurance%20Singapore%20Pte.%20Ltd.-TESLA-173.JPG" TargetMode="External"/><Relationship Id="rId235" Type="http://schemas.openxmlformats.org/officeDocument/2006/relationships/hyperlink" Target="file:///home/jason/mm-parts-index/invoices/2026-02-09-Allianz%20Insurance%20Singapore%20Pte.%20Ltd.-TESLA-173.JPG" TargetMode="External"/><Relationship Id="rId236" Type="http://schemas.openxmlformats.org/officeDocument/2006/relationships/hyperlink" Target="file:///home/jason/mm-parts-index/invoices/2026-02-09-Allianz%20Insurance%20Singapore%20Pte.%20Ltd.-TESLA-173.JPG" TargetMode="External"/><Relationship Id="rId237" Type="http://schemas.openxmlformats.org/officeDocument/2006/relationships/hyperlink" Target="file:///home/jason/mm-parts-index/invoices/2026-02-09-Allianz%20Insurance%20Singapore%20Pte.%20Ltd.-TESLA-173.JPG" TargetMode="External"/><Relationship Id="rId238" Type="http://schemas.openxmlformats.org/officeDocument/2006/relationships/hyperlink" Target="file:///home/jason/mm-parts-index/invoices/2026-02-09-Allianz%20Insurance%20Singapore%20Pte.%20Ltd.-TESLA-173.JPG" TargetMode="External"/><Relationship Id="rId239" Type="http://schemas.openxmlformats.org/officeDocument/2006/relationships/hyperlink" Target="file:///home/jason/mm-parts-index/invoices/2026-02-09-Allianz%20Insurance%20Singapore%20Pte.%20Ltd.-TESLA-173.JPG" TargetMode="External"/><Relationship Id="rId240" Type="http://schemas.openxmlformats.org/officeDocument/2006/relationships/hyperlink" Target="file:///home/jason/mm-parts-index/invoices/2026-02-09-Allianz%20Insurance%20Singapore%20Pte.%20Ltd.-TESLA-173.JPG" TargetMode="External"/><Relationship Id="rId241" Type="http://schemas.openxmlformats.org/officeDocument/2006/relationships/hyperlink" Target="file:///home/jason/mm-parts-index/invoices/2026-02-09-Allianz%20Insurance%20Singapore%20Pte.%20Ltd.-TESLA-173.JPG" TargetMode="External"/><Relationship Id="rId242" Type="http://schemas.openxmlformats.org/officeDocument/2006/relationships/hyperlink" Target="file:///home/jason/mm-parts-index/invoices/2026-02-09-Allianz%20Insurance%20Singapore%20Pte.%20Ltd.-TESLA-173.JPG" TargetMode="External"/><Relationship Id="rId243" Type="http://schemas.openxmlformats.org/officeDocument/2006/relationships/hyperlink" Target="file:///home/jason/mm-parts-index/invoices/2026-02-09-Allianz%20Insurance%20Singapore%20Pte.%20Ltd.-TESLA-173.JPG" TargetMode="External"/><Relationship Id="rId244" Type="http://schemas.openxmlformats.org/officeDocument/2006/relationships/hyperlink" Target="file:///home/jason/mm-parts-index/invoices/2026-02-09-Allianz%20Insurance%20Singapore%20Pte.%20Ltd.-TESLA-173.JPG" TargetMode="External"/><Relationship Id="rId245" Type="http://schemas.openxmlformats.org/officeDocument/2006/relationships/hyperlink" Target="file:///home/jason/mm-parts-index/invoices/2026-02-09-Allianz%20Insurance%20Singapore%20Pte.%20Ltd.-TESLA-173.JPG" TargetMode="External"/><Relationship Id="rId246" Type="http://schemas.openxmlformats.org/officeDocument/2006/relationships/hyperlink" Target="file:///home/jason/mm-parts-index/invoices/2026-02-09-Allianz%20Insurance%20Singapore%20Pte.%20Ltd.-TESLA-173.JPG" TargetMode="External"/><Relationship Id="rId247" Type="http://schemas.openxmlformats.org/officeDocument/2006/relationships/hyperlink" Target="file:///home/jason/mm-parts-index/invoices/2026-01-21-HL%20Assurance%20Pte%20Ltd-TOYOTA-146.PDF" TargetMode="External"/><Relationship Id="rId248" Type="http://schemas.openxmlformats.org/officeDocument/2006/relationships/hyperlink" Target="file:///home/jason/mm-parts-index/invoices/2026-01-21-HL%20Assurance%20Pte%20Ltd-TOYOTA-146.PDF" TargetMode="External"/><Relationship Id="rId249" Type="http://schemas.openxmlformats.org/officeDocument/2006/relationships/hyperlink" Target="file:///home/jason/mm-parts-index/invoices/2026-01-21-HL%20Assurance%20Pte%20Ltd-TOYOTA-146.PDF" TargetMode="External"/><Relationship Id="rId250" Type="http://schemas.openxmlformats.org/officeDocument/2006/relationships/hyperlink" Target="file:///home/jason/mm-parts-index/invoices/2026-01-21-HL%20Assurance%20Pte%20Ltd-TOYOTA-146.PDF" TargetMode="External"/><Relationship Id="rId251" Type="http://schemas.openxmlformats.org/officeDocument/2006/relationships/hyperlink" Target="file:///home/jason/mm-parts-index/invoices/2026-01-21-HL%20Assurance%20Pte%20Ltd-TOYOTA-146.PDF" TargetMode="External"/><Relationship Id="rId252" Type="http://schemas.openxmlformats.org/officeDocument/2006/relationships/hyperlink" Target="file:///home/jason/mm-parts-index/invoices/2026-01-21-HL%20Assurance%20Pte%20Ltd-TOYOTA-146.PDF" TargetMode="External"/><Relationship Id="rId253" Type="http://schemas.openxmlformats.org/officeDocument/2006/relationships/hyperlink" Target="file:///home/jason/mm-parts-index/invoices/2026-01-21-HL%20Assurance%20Pte%20Ltd-TOYOTA-146.PDF" TargetMode="External"/><Relationship Id="rId254" Type="http://schemas.openxmlformats.org/officeDocument/2006/relationships/hyperlink" Target="file:///home/jason/mm-parts-index/invoices/2026-01-21-HL%20Assurance%20Pte%20Ltd-TOYOTA-146.PDF" TargetMode="External"/><Relationship Id="rId255" Type="http://schemas.openxmlformats.org/officeDocument/2006/relationships/hyperlink" Target="file:///home/jason/mm-parts-index/invoices/2026-01-21-HL%20Assurance%20Pte%20Ltd-TOYOTA-146.PDF" TargetMode="External"/><Relationship Id="rId256" Type="http://schemas.openxmlformats.org/officeDocument/2006/relationships/hyperlink" Target="file:///home/jason/mm-parts-index/invoices/2026-01-21-HL%20Assurance%20Pte%20Ltd-TOYOTA-146.PDF" TargetMode="External"/><Relationship Id="rId257" Type="http://schemas.openxmlformats.org/officeDocument/2006/relationships/hyperlink" Target="file:///home/jason/mm-parts-index/invoices/2026-01-21-HL%20Assurance%20Pte%20Ltd-TOYOTA-146.PDF" TargetMode="External"/><Relationship Id="rId258" Type="http://schemas.openxmlformats.org/officeDocument/2006/relationships/hyperlink" Target="file:///home/jason/mm-parts-index/invoices/2026-01-21-HL%20Assurance%20Pte%20Ltd-TOYOTA-146.PDF" TargetMode="External"/><Relationship Id="rId259" Type="http://schemas.openxmlformats.org/officeDocument/2006/relationships/hyperlink" Target="file:///home/jason/mm-parts-index/invoices/2026-01-21-HL%20Assurance%20Pte%20Ltd-TOYOTA-146.PDF" TargetMode="External"/><Relationship Id="rId260" Type="http://schemas.openxmlformats.org/officeDocument/2006/relationships/hyperlink" Target="file:///home/jason/mm-parts-index/invoices/2026-01-21-HL%20Assurance%20Pte%20Ltd-TOYOTA-146.PDF" TargetMode="External"/><Relationship Id="rId261" Type="http://schemas.openxmlformats.org/officeDocument/2006/relationships/hyperlink" Target="file:///home/jason/mm-parts-index/invoices/2026-02-03-AIG%20Asia%20Pacific%20Insurance%20Pte.%20Ltd.-TOYOTA-152.PDF" TargetMode="External"/><Relationship Id="rId262" Type="http://schemas.openxmlformats.org/officeDocument/2006/relationships/hyperlink" Target="file:///home/jason/mm-parts-index/invoices/2026-02-03-AIG%20Asia%20Pacific%20Insurance%20Pte.%20Ltd.-TOYOTA-152.PDF" TargetMode="External"/><Relationship Id="rId263" Type="http://schemas.openxmlformats.org/officeDocument/2006/relationships/hyperlink" Target="file:///home/jason/mm-parts-index/invoices/2026-02-03-AIG%20Asia%20Pacific%20Insurance%20Pte.%20Ltd.-TOYOTA-152.PDF" TargetMode="External"/><Relationship Id="rId264" Type="http://schemas.openxmlformats.org/officeDocument/2006/relationships/hyperlink" Target="file:///home/jason/mm-parts-index/invoices/2026-02-03-AIG%20Asia%20Pacific%20Insurance%20Pte.%20Ltd.-TOYOTA-152.PDF" TargetMode="External"/><Relationship Id="rId265" Type="http://schemas.openxmlformats.org/officeDocument/2006/relationships/hyperlink" Target="file:///home/jason/mm-parts-index/invoices/2026-02-03-AIG%20Asia%20Pacific%20Insurance%20Pte.%20Ltd.-TOYOTA-152.PDF" TargetMode="External"/><Relationship Id="rId266" Type="http://schemas.openxmlformats.org/officeDocument/2006/relationships/hyperlink" Target="file:///home/jason/mm-parts-index/invoices/2026-02-03-AIG%20Asia%20Pacific%20Insurance%20Pte.%20Ltd.-TOYOTA-152.PDF" TargetMode="External"/><Relationship Id="rId267" Type="http://schemas.openxmlformats.org/officeDocument/2006/relationships/hyperlink" Target="file:///home/jason/mm-parts-index/invoices/2026-02-03-AIG%20Asia%20Pacific%20Insurance%20Pte.%20Ltd.-TOYOTA-152.PDF" TargetMode="External"/><Relationship Id="rId268" Type="http://schemas.openxmlformats.org/officeDocument/2006/relationships/hyperlink" Target="file:///home/jason/mm-parts-index/invoices/2026-02-03-AIG%20Asia%20Pacific%20Insurance%20Pte.%20Ltd.-TOYOTA-152.PDF" TargetMode="External"/><Relationship Id="rId269" Type="http://schemas.openxmlformats.org/officeDocument/2006/relationships/hyperlink" Target="file:///home/jason/mm-parts-index/invoices/2026-02-03-AIG%20Asia%20Pacific%20Insurance%20Pte.%20Ltd.-TOYOTA-152.PDF" TargetMode="External"/><Relationship Id="rId270" Type="http://schemas.openxmlformats.org/officeDocument/2006/relationships/hyperlink" Target="file:///home/jason/mm-parts-index/invoices/2026-02-03-AIG%20Asia%20Pacific%20Insurance%20Pte.%20Ltd.-TOYOTA-152.PDF" TargetMode="External"/><Relationship Id="rId271" Type="http://schemas.openxmlformats.org/officeDocument/2006/relationships/hyperlink" Target="file:///home/jason/mm-parts-index/invoices/2026-02-03-AIG%20Asia%20Pacific%20Insurance%20Pte.%20Ltd.-TOYOTA-152.PDF" TargetMode="External"/><Relationship Id="rId272" Type="http://schemas.openxmlformats.org/officeDocument/2006/relationships/hyperlink" Target="file:///home/jason/mm-parts-index/invoices/2026-02-03-AIG%20Asia%20Pacific%20Insurance%20Pte.%20Ltd.-TOYOTA-152.PDF" TargetMode="External"/><Relationship Id="rId273" Type="http://schemas.openxmlformats.org/officeDocument/2006/relationships/hyperlink" Target="file:///home/jason/mm-parts-index/invoices/2026-02-03-AIG%20Asia%20Pacific%20Insurance%20Pte.%20Ltd.-TOYOTA-152.PDF" TargetMode="External"/><Relationship Id="rId274" Type="http://schemas.openxmlformats.org/officeDocument/2006/relationships/hyperlink" Target="file:///home/jason/mm-parts-index/invoices/2026-02-03-AIG%20Asia%20Pacific%20Insurance%20Pte.%20Ltd.-TOYOTA-152.PDF" TargetMode="External"/><Relationship Id="rId275" Type="http://schemas.openxmlformats.org/officeDocument/2006/relationships/hyperlink" Target="file:///home/jason/mm-parts-index/invoices/2026-02-03-AIG%20Asia%20Pacific%20Insurance%20Pte.%20Ltd.-TOYOTA-152.PDF" TargetMode="External"/><Relationship Id="rId276" Type="http://schemas.openxmlformats.org/officeDocument/2006/relationships/hyperlink" Target="file:///home/jason/mm-parts-index/invoices/2026-02-03-AIG%20Asia%20Pacific%20Insurance%20Pte.%20Ltd.-TOYOTA-152.PDF" TargetMode="External"/><Relationship Id="rId277" Type="http://schemas.openxmlformats.org/officeDocument/2006/relationships/hyperlink" Target="file:///home/jason/mm-parts-index/invoices/2026-02-03-AIG%20Asia%20Pacific%20Insurance%20Pte.%20Ltd.-TOYOTA-152.PDF" TargetMode="External"/><Relationship Id="rId278" Type="http://schemas.openxmlformats.org/officeDocument/2006/relationships/hyperlink" Target="file:///home/jason/mm-parts-index/invoices/2026-02-03-AIG%20Asia%20Pacific%20Insurance%20Pte.%20Ltd.-TOYOTA-152.PDF" TargetMode="External"/><Relationship Id="rId279" Type="http://schemas.openxmlformats.org/officeDocument/2006/relationships/hyperlink" Target="file:///home/jason/mm-parts-index/invoices/2026-02-03-AIG%20Asia%20Pacific%20Insurance%20Pte.%20Ltd.-TOYOTA-152.PDF" TargetMode="External"/><Relationship Id="rId280" Type="http://schemas.openxmlformats.org/officeDocument/2006/relationships/hyperlink" Target="file:///home/jason/mm-parts-index/invoices/2026-02-03-AIG%20Asia%20Pacific%20Insurance%20Pte.%20Ltd.-TOYOTA-152.PDF" TargetMode="External"/><Relationship Id="rId281" Type="http://schemas.openxmlformats.org/officeDocument/2006/relationships/hyperlink" Target="file:///home/jason/mm-parts-index/invoices/2026-02-03-AIG%20Asia%20Pacific%20Insurance%20Pte.%20Ltd.-TOYOTA-152.PDF" TargetMode="External"/><Relationship Id="rId282" Type="http://schemas.openxmlformats.org/officeDocument/2006/relationships/hyperlink" Target="file:///home/jason/mm-parts-index/invoices/2025-08-17-Allianz%20Insurance%20Singapore%20Pte.%20Ltd.-MERCEDES-BENZ-6.JPG" TargetMode="External"/><Relationship Id="rId283" Type="http://schemas.openxmlformats.org/officeDocument/2006/relationships/hyperlink" Target="file:///home/jason/mm-parts-index/invoices/2025-08-17-Allianz%20Insurance%20Singapore%20Pte.%20Ltd.-MERCEDES-BENZ-6.JPG" TargetMode="External"/><Relationship Id="rId284" Type="http://schemas.openxmlformats.org/officeDocument/2006/relationships/hyperlink" Target="file:///home/jason/mm-parts-index/invoices/2025-08-17-Allianz%20Insurance%20Singapore%20Pte.%20Ltd.-MERCEDES-BENZ-6.JPG" TargetMode="External"/><Relationship Id="rId285" Type="http://schemas.openxmlformats.org/officeDocument/2006/relationships/hyperlink" Target="file:///home/jason/mm-parts-index/invoices/2025-08-17-Allianz%20Insurance%20Singapore%20Pte.%20Ltd.-MERCEDES-BENZ-6.JPG" TargetMode="External"/><Relationship Id="rId286" Type="http://schemas.openxmlformats.org/officeDocument/2006/relationships/hyperlink" Target="file:///home/jason/mm-parts-index/invoices/2025-08-17-Allianz%20Insurance%20Singapore%20Pte.%20Ltd.-MERCEDES-BENZ-6.JPG" TargetMode="External"/><Relationship Id="rId287" Type="http://schemas.openxmlformats.org/officeDocument/2006/relationships/hyperlink" Target="file:///home/jason/mm-parts-index/invoices/2025-08-17-Allianz%20Insurance%20Singapore%20Pte.%20Ltd.-MERCEDES-BENZ-6.JPG" TargetMode="External"/><Relationship Id="rId288" Type="http://schemas.openxmlformats.org/officeDocument/2006/relationships/hyperlink" Target="file:///home/jason/mm-parts-index/invoices/2025-08-17-Allianz%20Insurance%20Singapore%20Pte.%20Ltd.-MERCEDES-BENZ-6.JPG" TargetMode="External"/><Relationship Id="rId289" Type="http://schemas.openxmlformats.org/officeDocument/2006/relationships/hyperlink" Target="file:///home/jason/mm-parts-index/invoices/2025-08-17-Allianz%20Insurance%20Singapore%20Pte.%20Ltd.-MERCEDES-BENZ-6.JPG" TargetMode="External"/><Relationship Id="rId290" Type="http://schemas.openxmlformats.org/officeDocument/2006/relationships/hyperlink" Target="file:///home/jason/mm-parts-index/invoices/2025-08-17-Allianz%20Insurance%20Singapore%20Pte.%20Ltd.-MERCEDES-BENZ-6.JPG" TargetMode="External"/><Relationship Id="rId291" Type="http://schemas.openxmlformats.org/officeDocument/2006/relationships/hyperlink" Target="file:///home/jason/mm-parts-index/invoices/2025-08-17-Allianz%20Insurance%20Singapore%20Pte.%20Ltd.-MERCEDES-BENZ-6.JPG" TargetMode="External"/><Relationship Id="rId292" Type="http://schemas.openxmlformats.org/officeDocument/2006/relationships/hyperlink" Target="file:///home/jason/mm-parts-index/invoices/2025-08-17-Allianz%20Insurance%20Singapore%20Pte.%20Ltd.-MERCEDES-BENZ-6.JPG" TargetMode="External"/><Relationship Id="rId293" Type="http://schemas.openxmlformats.org/officeDocument/2006/relationships/hyperlink" Target="file:///home/jason/mm-parts-index/invoices/2025-08-17-Allianz%20Insurance%20Singapore%20Pte.%20Ltd.-MERCEDES-BENZ-6.JPG" TargetMode="External"/><Relationship Id="rId294" Type="http://schemas.openxmlformats.org/officeDocument/2006/relationships/hyperlink" Target="file:///home/jason/mm-parts-index/invoices/2025-08-17-Allianz%20Insurance%20Singapore%20Pte.%20Ltd.-MERCEDES-BENZ-6.JPG" TargetMode="External"/><Relationship Id="rId295" Type="http://schemas.openxmlformats.org/officeDocument/2006/relationships/hyperlink" Target="file:///home/jason/mm-parts-index/invoices/2026-02-25-ECICS%20Limited-TOYOTA-181.PDF" TargetMode="External"/><Relationship Id="rId296" Type="http://schemas.openxmlformats.org/officeDocument/2006/relationships/hyperlink" Target="file:///home/jason/mm-parts-index/invoices/2026-02-25-ECICS%20Limited-TOYOTA-181.PDF" TargetMode="External"/><Relationship Id="rId297" Type="http://schemas.openxmlformats.org/officeDocument/2006/relationships/hyperlink" Target="file:///home/jason/mm-parts-index/invoices/2026-02-25-ECICS%20Limited-TOYOTA-181.PDF" TargetMode="External"/><Relationship Id="rId298" Type="http://schemas.openxmlformats.org/officeDocument/2006/relationships/hyperlink" Target="file:///home/jason/mm-parts-index/invoices/2026-02-25-ECICS%20Limited-TOYOTA-181.PDF" TargetMode="External"/><Relationship Id="rId299" Type="http://schemas.openxmlformats.org/officeDocument/2006/relationships/hyperlink" Target="file:///home/jason/mm-parts-index/invoices/2026-02-25-ECICS%20Limited-TOYOTA-181.PDF" TargetMode="External"/><Relationship Id="rId300" Type="http://schemas.openxmlformats.org/officeDocument/2006/relationships/hyperlink" Target="file:///home/jason/mm-parts-index/invoices/2026-02-25-ECICS%20Limited-TOYOTA-181.PDF" TargetMode="External"/><Relationship Id="rId301" Type="http://schemas.openxmlformats.org/officeDocument/2006/relationships/hyperlink" Target="file:///home/jason/mm-parts-index/invoices/2026-02-25-ECICS%20Limited-TOYOTA-181.PDF" TargetMode="External"/><Relationship Id="rId302" Type="http://schemas.openxmlformats.org/officeDocument/2006/relationships/hyperlink" Target="file:///home/jason/mm-parts-index/invoices/2026-02-25-ECICS%20Limited-TOYOTA-181.PDF" TargetMode="External"/><Relationship Id="rId303" Type="http://schemas.openxmlformats.org/officeDocument/2006/relationships/hyperlink" Target="file:///home/jason/mm-parts-index/invoices/2026-02-25-ECICS%20Limited-TOYOTA-181.PDF" TargetMode="External"/><Relationship Id="rId304" Type="http://schemas.openxmlformats.org/officeDocument/2006/relationships/hyperlink" Target="file:///home/jason/mm-parts-index/invoices/2026-02-25-ECICS%20Limited-TOYOTA-181.PDF" TargetMode="External"/><Relationship Id="rId305" Type="http://schemas.openxmlformats.org/officeDocument/2006/relationships/hyperlink" Target="file:///home/jason/mm-parts-index/invoices/2026-02-25-ECICS%20Limited-TOYOTA-181.PDF" TargetMode="External"/><Relationship Id="rId306" Type="http://schemas.openxmlformats.org/officeDocument/2006/relationships/hyperlink" Target="file:///home/jason/mm-parts-index/invoices/2026-02-25-ECICS%20Limited-TOYOTA-181.PDF" TargetMode="External"/><Relationship Id="rId307" Type="http://schemas.openxmlformats.org/officeDocument/2006/relationships/hyperlink" Target="file:///home/jason/mm-parts-index/invoices/2026-02-25-ECICS%20Limited-TOYOTA-181.PDF" TargetMode="External"/><Relationship Id="rId308" Type="http://schemas.openxmlformats.org/officeDocument/2006/relationships/hyperlink" Target="file:///home/jason/mm-parts-index/invoices/2026-02-25-ECICS%20Limited-TOYOTA-181.PDF" TargetMode="External"/><Relationship Id="rId309" Type="http://schemas.openxmlformats.org/officeDocument/2006/relationships/hyperlink" Target="file:///home/jason/mm-parts-index/invoices/2026-02-25-ECICS%20Limited-TOYOTA-181.PDF" TargetMode="External"/><Relationship Id="rId310" Type="http://schemas.openxmlformats.org/officeDocument/2006/relationships/hyperlink" Target="file:///home/jason/mm-parts-index/invoices/2026-02-25-ECICS%20Limited-TOYOTA-181.PDF" TargetMode="External"/><Relationship Id="rId311" Type="http://schemas.openxmlformats.org/officeDocument/2006/relationships/hyperlink" Target="file:///home/jason/mm-parts-index/invoices/2026-01-07-Tokio%20Marine%20Insurance%20Singapore%20Ltd-MERCEDES-BENZ-135.PDF" TargetMode="External"/><Relationship Id="rId312" Type="http://schemas.openxmlformats.org/officeDocument/2006/relationships/hyperlink" Target="file:///home/jason/mm-parts-index/invoices/2026-01-07-Tokio%20Marine%20Insurance%20Singapore%20Ltd-MERCEDES-BENZ-135.PDF" TargetMode="External"/><Relationship Id="rId313" Type="http://schemas.openxmlformats.org/officeDocument/2006/relationships/hyperlink" Target="file:///home/jason/mm-parts-index/invoices/2026-01-07-Tokio%20Marine%20Insurance%20Singapore%20Ltd-MERCEDES-BENZ-135.PDF" TargetMode="External"/><Relationship Id="rId314" Type="http://schemas.openxmlformats.org/officeDocument/2006/relationships/hyperlink" Target="file:///home/jason/mm-parts-index/invoices/2026-01-07-Tokio%20Marine%20Insurance%20Singapore%20Ltd-MERCEDES-BENZ-135.PDF" TargetMode="External"/><Relationship Id="rId315" Type="http://schemas.openxmlformats.org/officeDocument/2006/relationships/hyperlink" Target="file:///home/jason/mm-parts-index/invoices/2026-01-07-Tokio%20Marine%20Insurance%20Singapore%20Ltd-MERCEDES-BENZ-135.PDF" TargetMode="External"/><Relationship Id="rId316" Type="http://schemas.openxmlformats.org/officeDocument/2006/relationships/hyperlink" Target="file:///home/jason/mm-parts-index/invoices/2026-01-07-Tokio%20Marine%20Insurance%20Singapore%20Ltd-MERCEDES-BENZ-135.PDF" TargetMode="External"/><Relationship Id="rId317" Type="http://schemas.openxmlformats.org/officeDocument/2006/relationships/hyperlink" Target="file:///home/jason/mm-parts-index/invoices/2026-01-07-Tokio%20Marine%20Insurance%20Singapore%20Ltd-MERCEDES-BENZ-135.PDF" TargetMode="External"/><Relationship Id="rId318" Type="http://schemas.openxmlformats.org/officeDocument/2006/relationships/hyperlink" Target="file:///home/jason/mm-parts-index/invoices/2026-01-07-Tokio%20Marine%20Insurance%20Singapore%20Ltd-MERCEDES-BENZ-135.PDF" TargetMode="External"/><Relationship Id="rId319" Type="http://schemas.openxmlformats.org/officeDocument/2006/relationships/hyperlink" Target="file:///home/jason/mm-parts-index/invoices/2026-01-07-Tokio%20Marine%20Insurance%20Singapore%20Ltd-MERCEDES-BENZ-135.PDF" TargetMode="External"/><Relationship Id="rId320" Type="http://schemas.openxmlformats.org/officeDocument/2006/relationships/hyperlink" Target="file:///home/jason/mm-parts-index/invoices/2026-01-07-Tokio%20Marine%20Insurance%20Singapore%20Ltd-MERCEDES-BENZ-135.PDF" TargetMode="External"/><Relationship Id="rId321" Type="http://schemas.openxmlformats.org/officeDocument/2006/relationships/hyperlink" Target="file:///home/jason/mm-parts-index/invoices/2026-01-07-Tokio%20Marine%20Insurance%20Singapore%20Ltd-MERCEDES-BENZ-135.PDF" TargetMode="External"/><Relationship Id="rId322" Type="http://schemas.openxmlformats.org/officeDocument/2006/relationships/hyperlink" Target="file:///home/jason/mm-parts-index/invoices/2026-01-07-Tokio%20Marine%20Insurance%20Singapore%20Ltd-MERCEDES-BENZ-135.PDF" TargetMode="External"/><Relationship Id="rId323" Type="http://schemas.openxmlformats.org/officeDocument/2006/relationships/hyperlink" Target="file:///home/jason/mm-parts-index/invoices/2026-01-07-Tokio%20Marine%20Insurance%20Singapore%20Ltd-MERCEDES-BENZ-135.PDF" TargetMode="External"/><Relationship Id="rId324" Type="http://schemas.openxmlformats.org/officeDocument/2006/relationships/hyperlink" Target="file:///home/jason/mm-parts-index/invoices/2026-01-07-Tokio%20Marine%20Insurance%20Singapore%20Ltd-MERCEDES-BENZ-135.PDF" TargetMode="External"/><Relationship Id="rId325" Type="http://schemas.openxmlformats.org/officeDocument/2006/relationships/hyperlink" Target="file:///home/jason/mm-parts-index/invoices/2026-01-07-Tokio%20Marine%20Insurance%20Singapore%20Ltd-MERCEDES-BENZ-135.PDF" TargetMode="External"/><Relationship Id="rId326" Type="http://schemas.openxmlformats.org/officeDocument/2006/relationships/hyperlink" Target="file:///home/jason/mm-parts-index/invoices/2026-01-07-Tokio%20Marine%20Insurance%20Singapore%20Ltd-MERCEDES-BENZ-135.PDF" TargetMode="External"/><Relationship Id="rId327" Type="http://schemas.openxmlformats.org/officeDocument/2006/relationships/hyperlink" Target="file:///home/jason/mm-parts-index/invoices/2026-01-07-Tokio%20Marine%20Insurance%20Singapore%20Ltd-MERCEDES-BENZ-135.PDF" TargetMode="External"/><Relationship Id="rId328" Type="http://schemas.openxmlformats.org/officeDocument/2006/relationships/hyperlink" Target="file:///home/jason/mm-parts-index/invoices/2026-01-07-Tokio%20Marine%20Insurance%20Singapore%20Ltd-MERCEDES-BENZ-135.PDF" TargetMode="External"/><Relationship Id="rId329" Type="http://schemas.openxmlformats.org/officeDocument/2006/relationships/hyperlink" Target="file:///home/jason/mm-parts-index/invoices/2026-01-07-Tokio%20Marine%20Insurance%20Singapore%20Ltd-MERCEDES-BENZ-135.PDF" TargetMode="External"/><Relationship Id="rId330" Type="http://schemas.openxmlformats.org/officeDocument/2006/relationships/hyperlink" Target="file:///home/jason/mm-parts-index/invoices/2026-01-07-Tokio%20Marine%20Insurance%20Singapore%20Ltd-MERCEDES-BENZ-135.PDF" TargetMode="External"/><Relationship Id="rId331" Type="http://schemas.openxmlformats.org/officeDocument/2006/relationships/hyperlink" Target="file:///home/jason/mm-parts-index/invoices/2026-01-07-Tokio%20Marine%20Insurance%20Singapore%20Ltd-MERCEDES-BENZ-135.PDF" TargetMode="External"/><Relationship Id="rId332" Type="http://schemas.openxmlformats.org/officeDocument/2006/relationships/hyperlink" Target="file:///home/jason/mm-parts-index/invoices/2026-01-07-Tokio%20Marine%20Insurance%20Singapore%20Ltd-MERCEDES-BENZ-135.PDF" TargetMode="External"/><Relationship Id="rId333" Type="http://schemas.openxmlformats.org/officeDocument/2006/relationships/hyperlink" Target="file:///home/jason/mm-parts-index/invoices/2026-01-07-Tokio%20Marine%20Insurance%20Singapore%20Ltd-MERCEDES-BENZ-135.PDF" TargetMode="External"/><Relationship Id="rId334" Type="http://schemas.openxmlformats.org/officeDocument/2006/relationships/hyperlink" Target="file:///home/jason/mm-parts-index/invoices/2026-01-07-Tokio%20Marine%20Insurance%20Singapore%20Ltd-MERCEDES-BENZ-135.PDF" TargetMode="External"/><Relationship Id="rId335" Type="http://schemas.openxmlformats.org/officeDocument/2006/relationships/hyperlink" Target="file:///home/jason/mm-parts-index/invoices/2026-01-07-Tokio%20Marine%20Insurance%20Singapore%20Ltd-MERCEDES-BENZ-135.PDF" TargetMode="External"/><Relationship Id="rId336" Type="http://schemas.openxmlformats.org/officeDocument/2006/relationships/hyperlink" Target="file:///home/jason/mm-parts-index/invoices/2026-01-07-Tokio%20Marine%20Insurance%20Singapore%20Ltd-MERCEDES-BENZ-135.PDF" TargetMode="External"/><Relationship Id="rId337" Type="http://schemas.openxmlformats.org/officeDocument/2006/relationships/hyperlink" Target="file:///home/jason/mm-parts-index/invoices/2026-02-09-Allianz%20Insurance%20Singapore%20Pte.%20Ltd.-TESLA-169.PDF" TargetMode="External"/><Relationship Id="rId338" Type="http://schemas.openxmlformats.org/officeDocument/2006/relationships/hyperlink" Target="file:///home/jason/mm-parts-index/invoices/2026-02-09-Allianz%20Insurance%20Singapore%20Pte.%20Ltd.-TESLA-169.PDF" TargetMode="External"/><Relationship Id="rId339" Type="http://schemas.openxmlformats.org/officeDocument/2006/relationships/hyperlink" Target="file:///home/jason/mm-parts-index/invoices/2026-02-09-Allianz%20Insurance%20Singapore%20Pte.%20Ltd.-TESLA-169.PDF" TargetMode="External"/><Relationship Id="rId340" Type="http://schemas.openxmlformats.org/officeDocument/2006/relationships/hyperlink" Target="file:///home/jason/mm-parts-index/invoices/2026-02-09-Allianz%20Insurance%20Singapore%20Pte.%20Ltd.-TESLA-169.PDF" TargetMode="External"/><Relationship Id="rId341" Type="http://schemas.openxmlformats.org/officeDocument/2006/relationships/hyperlink" Target="file:///home/jason/mm-parts-index/invoices/2026-02-09-Allianz%20Insurance%20Singapore%20Pte.%20Ltd.-TESLA-169.PDF" TargetMode="External"/><Relationship Id="rId342" Type="http://schemas.openxmlformats.org/officeDocument/2006/relationships/hyperlink" Target="file:///home/jason/mm-parts-index/invoices/2026-02-09-Allianz%20Insurance%20Singapore%20Pte.%20Ltd.-TESLA-169.PDF" TargetMode="External"/><Relationship Id="rId343" Type="http://schemas.openxmlformats.org/officeDocument/2006/relationships/hyperlink" Target="file:///home/jason/mm-parts-index/invoices/2026-02-09-Allianz%20Insurance%20Singapore%20Pte.%20Ltd.-TESLA-169.PDF" TargetMode="External"/><Relationship Id="rId344" Type="http://schemas.openxmlformats.org/officeDocument/2006/relationships/hyperlink" Target="file:///home/jason/mm-parts-index/invoices/2026-02-09-Allianz%20Insurance%20Singapore%20Pte.%20Ltd.-TESLA-169.PDF" TargetMode="External"/><Relationship Id="rId345" Type="http://schemas.openxmlformats.org/officeDocument/2006/relationships/hyperlink" Target="file:///home/jason/mm-parts-index/invoices/2026-02-09-Allianz%20Insurance%20Singapore%20Pte.%20Ltd.-TESLA-169.PDF" TargetMode="External"/><Relationship Id="rId346" Type="http://schemas.openxmlformats.org/officeDocument/2006/relationships/hyperlink" Target="file:///home/jason/mm-parts-index/invoices/2026-02-09-Allianz%20Insurance%20Singapore%20Pte.%20Ltd.-TESLA-169.PDF" TargetMode="External"/><Relationship Id="rId347" Type="http://schemas.openxmlformats.org/officeDocument/2006/relationships/hyperlink" Target="file:///home/jason/mm-parts-index/invoices/2025-09-26-EQ%20Insurance%20Company%20Ltd-TOYOTA-26.PDF" TargetMode="External"/><Relationship Id="rId348" Type="http://schemas.openxmlformats.org/officeDocument/2006/relationships/hyperlink" Target="file:///home/jason/mm-parts-index/invoices/2025-09-26-EQ%20Insurance%20Company%20Ltd-TOYOTA-26.PDF" TargetMode="External"/><Relationship Id="rId349" Type="http://schemas.openxmlformats.org/officeDocument/2006/relationships/hyperlink" Target="file:///home/jason/mm-parts-index/invoices/2025-09-26-EQ%20Insurance%20Company%20Ltd-TOYOTA-26.PDF" TargetMode="External"/><Relationship Id="rId350" Type="http://schemas.openxmlformats.org/officeDocument/2006/relationships/hyperlink" Target="file:///home/jason/mm-parts-index/invoices/2025-09-26-EQ%20Insurance%20Company%20Ltd-TOYOTA-26.PDF" TargetMode="External"/><Relationship Id="rId351" Type="http://schemas.openxmlformats.org/officeDocument/2006/relationships/hyperlink" Target="file:///home/jason/mm-parts-index/invoices/2025-09-26-EQ%20Insurance%20Company%20Ltd-TOYOTA-26.PDF" TargetMode="External"/><Relationship Id="rId352" Type="http://schemas.openxmlformats.org/officeDocument/2006/relationships/hyperlink" Target="file:///home/jason/mm-parts-index/invoices/2025-09-26-EQ%20Insurance%20Company%20Ltd-TOYOTA-26.PDF" TargetMode="External"/><Relationship Id="rId353" Type="http://schemas.openxmlformats.org/officeDocument/2006/relationships/hyperlink" Target="file:///home/jason/mm-parts-index/invoices/2025-09-26-EQ%20Insurance%20Company%20Ltd-TOYOTA-26.PDF" TargetMode="External"/><Relationship Id="rId354" Type="http://schemas.openxmlformats.org/officeDocument/2006/relationships/hyperlink" Target="file:///home/jason/mm-parts-index/invoices/2025-09-26-EQ%20Insurance%20Company%20Ltd-TOYOTA-26.PDF" TargetMode="External"/><Relationship Id="rId355" Type="http://schemas.openxmlformats.org/officeDocument/2006/relationships/hyperlink" Target="file:///home/jason/mm-parts-index/invoices/2025-09-26-EQ%20Insurance%20Company%20Ltd-TOYOTA-26.PDF" TargetMode="External"/><Relationship Id="rId356" Type="http://schemas.openxmlformats.org/officeDocument/2006/relationships/hyperlink" Target="file:///home/jason/mm-parts-index/invoices/2026-02-09-Allianz%20Insurance%20Singapore%20Pte.%20Ltd.-TESLA-158.JPG" TargetMode="External"/><Relationship Id="rId357" Type="http://schemas.openxmlformats.org/officeDocument/2006/relationships/hyperlink" Target="file:///home/jason/mm-parts-index/invoices/2026-02-09-Allianz%20Insurance%20Singapore%20Pte.%20Ltd.-TESLA-158.JPG" TargetMode="External"/><Relationship Id="rId358" Type="http://schemas.openxmlformats.org/officeDocument/2006/relationships/hyperlink" Target="file:///home/jason/mm-parts-index/invoices/2026-02-09-Allianz%20Insurance%20Singapore%20Pte.%20Ltd.-TESLA-158.JPG" TargetMode="External"/><Relationship Id="rId359" Type="http://schemas.openxmlformats.org/officeDocument/2006/relationships/hyperlink" Target="file:///home/jason/mm-parts-index/invoices/2026-02-09-Allianz%20Insurance%20Singapore%20Pte.%20Ltd.-TESLA-158.JPG" TargetMode="External"/><Relationship Id="rId360" Type="http://schemas.openxmlformats.org/officeDocument/2006/relationships/hyperlink" Target="file:///home/jason/mm-parts-index/invoices/2026-02-09-Allianz%20Insurance%20Singapore%20Pte.%20Ltd.-TESLA-158.JPG" TargetMode="External"/><Relationship Id="rId361" Type="http://schemas.openxmlformats.org/officeDocument/2006/relationships/hyperlink" Target="file:///home/jason/mm-parts-index/invoices/2026-02-09-Allianz%20Insurance%20Singapore%20Pte.%20Ltd.-TESLA-158.JPG" TargetMode="External"/><Relationship Id="rId362" Type="http://schemas.openxmlformats.org/officeDocument/2006/relationships/hyperlink" Target="file:///home/jason/mm-parts-index/invoices/2026-02-09-Allianz%20Insurance%20Singapore%20Pte.%20Ltd.-TESLA-158.JPG" TargetMode="External"/><Relationship Id="rId363" Type="http://schemas.openxmlformats.org/officeDocument/2006/relationships/hyperlink" Target="file:///home/jason/mm-parts-index/invoices/2026-02-09-Allianz%20Insurance%20Singapore%20Pte.%20Ltd.-TESLA-158.JPG" TargetMode="External"/><Relationship Id="rId364" Type="http://schemas.openxmlformats.org/officeDocument/2006/relationships/hyperlink" Target="file:///home/jason/mm-parts-index/invoices/2025-05-20-Allianz%20Insurance%20Singapore%20Pte.%20Ltd.-TOYOTA-1.PDF" TargetMode="External"/><Relationship Id="rId365" Type="http://schemas.openxmlformats.org/officeDocument/2006/relationships/hyperlink" Target="file:///home/jason/mm-parts-index/invoices/2025-05-20-Allianz%20Insurance%20Singapore%20Pte.%20Ltd.-TOYOTA-1.PDF" TargetMode="External"/><Relationship Id="rId366" Type="http://schemas.openxmlformats.org/officeDocument/2006/relationships/hyperlink" Target="file:///home/jason/mm-parts-index/invoices/2025-05-20-Allianz%20Insurance%20Singapore%20Pte.%20Ltd.-TOYOTA-1.PDF" TargetMode="External"/><Relationship Id="rId367" Type="http://schemas.openxmlformats.org/officeDocument/2006/relationships/hyperlink" Target="file:///home/jason/mm-parts-index/invoices/2025-05-20-Allianz%20Insurance%20Singapore%20Pte.%20Ltd.-TOYOTA-1.PDF" TargetMode="External"/><Relationship Id="rId368" Type="http://schemas.openxmlformats.org/officeDocument/2006/relationships/hyperlink" Target="file:///home/jason/mm-parts-index/invoices/2025-05-20-Allianz%20Insurance%20Singapore%20Pte.%20Ltd.-TOYOTA-1.PDF" TargetMode="External"/><Relationship Id="rId369" Type="http://schemas.openxmlformats.org/officeDocument/2006/relationships/hyperlink" Target="file:///home/jason/mm-parts-index/invoices/2025-05-20-Allianz%20Insurance%20Singapore%20Pte.%20Ltd.-TOYOTA-1.PDF" TargetMode="External"/><Relationship Id="rId370" Type="http://schemas.openxmlformats.org/officeDocument/2006/relationships/hyperlink" Target="file:///home/jason/mm-parts-index/invoices/2025-05-20-Allianz%20Insurance%20Singapore%20Pte.%20Ltd.-TOYOTA-1.PDF" TargetMode="External"/><Relationship Id="rId371" Type="http://schemas.openxmlformats.org/officeDocument/2006/relationships/hyperlink" Target="file:///home/jason/mm-parts-index/invoices/2025-05-20-Allianz%20Insurance%20Singapore%20Pte.%20Ltd.-TOYOTA-1.PDF" TargetMode="External"/><Relationship Id="rId372" Type="http://schemas.openxmlformats.org/officeDocument/2006/relationships/hyperlink" Target="file:///home/jason/mm-parts-index/invoices/2025-05-20-Allianz%20Insurance%20Singapore%20Pte.%20Ltd.-TOYOTA-1.PDF" TargetMode="External"/><Relationship Id="rId373" Type="http://schemas.openxmlformats.org/officeDocument/2006/relationships/hyperlink" Target="file:///home/jason/mm-parts-index/invoices/2025-05-20-Allianz%20Insurance%20Singapore%20Pte.%20Ltd.-TOYOTA-1.PDF" TargetMode="External"/><Relationship Id="rId374" Type="http://schemas.openxmlformats.org/officeDocument/2006/relationships/hyperlink" Target="file:///home/jason/mm-parts-index/invoices/2025-05-20-Allianz%20Insurance%20Singapore%20Pte.%20Ltd.-TOYOTA-1.PDF" TargetMode="External"/><Relationship Id="rId375" Type="http://schemas.openxmlformats.org/officeDocument/2006/relationships/hyperlink" Target="file:///home/jason/mm-parts-index/invoices/2025-05-20-Allianz%20Insurance%20Singapore%20Pte.%20Ltd.-TOYOTA-1.PDF" TargetMode="External"/><Relationship Id="rId376" Type="http://schemas.openxmlformats.org/officeDocument/2006/relationships/hyperlink" Target="file:///home/jason/mm-parts-index/invoices/2025-05-20-Allianz%20Insurance%20Singapore%20Pte.%20Ltd.-TOYOTA-1.PDF" TargetMode="External"/><Relationship Id="rId377" Type="http://schemas.openxmlformats.org/officeDocument/2006/relationships/hyperlink" Target="file:///home/jason/mm-parts-index/invoices/2025-05-20-Allianz%20Insurance%20Singapore%20Pte.%20Ltd.-TOYOTA-1.PDF" TargetMode="External"/><Relationship Id="rId378" Type="http://schemas.openxmlformats.org/officeDocument/2006/relationships/hyperlink" Target="file:///home/jason/mm-parts-index/invoices/2025-05-20-Allianz%20Insurance%20Singapore%20Pte.%20Ltd.-TOYOTA-1.PDF" TargetMode="External"/><Relationship Id="rId379" Type="http://schemas.openxmlformats.org/officeDocument/2006/relationships/hyperlink" Target="file:///home/jason/mm-parts-index/invoices/2025-05-20-Allianz%20Insurance%20Singapore%20Pte.%20Ltd.-TOYOTA-1.PDF" TargetMode="External"/><Relationship Id="rId380" Type="http://schemas.openxmlformats.org/officeDocument/2006/relationships/hyperlink" Target="file:///home/jason/mm-parts-index/invoices/2025-05-20-Allianz%20Insurance%20Singapore%20Pte.%20Ltd.-TOYOTA-1.PDF" TargetMode="External"/><Relationship Id="rId381" Type="http://schemas.openxmlformats.org/officeDocument/2006/relationships/hyperlink" Target="file:///home/jason/mm-parts-index/invoices/2025-05-20-Allianz%20Insurance%20Singapore%20Pte.%20Ltd.-TOYOTA-1.PDF" TargetMode="External"/><Relationship Id="rId382" Type="http://schemas.openxmlformats.org/officeDocument/2006/relationships/hyperlink" Target="file:///home/jason/mm-parts-index/invoices/2025-05-20-Allianz%20Insurance%20Singapore%20Pte.%20Ltd.-TOYOTA-1.PDF" TargetMode="External"/><Relationship Id="rId383" Type="http://schemas.openxmlformats.org/officeDocument/2006/relationships/hyperlink" Target="file:///home/jason/mm-parts-index/invoices/2025-10-17-AIG%20Asia%20Pacific%20Insurance%20Pte.%20Ltd.-MERCEDES-BENZ-55.PDF" TargetMode="External"/><Relationship Id="rId384" Type="http://schemas.openxmlformats.org/officeDocument/2006/relationships/hyperlink" Target="file:///home/jason/mm-parts-index/invoices/2025-10-17-AIG%20Asia%20Pacific%20Insurance%20Pte.%20Ltd.-MERCEDES-BENZ-55.PDF" TargetMode="External"/><Relationship Id="rId385" Type="http://schemas.openxmlformats.org/officeDocument/2006/relationships/hyperlink" Target="file:///home/jason/mm-parts-index/invoices/2025-10-17-AIG%20Asia%20Pacific%20Insurance%20Pte.%20Ltd.-MERCEDES-BENZ-55.PDF" TargetMode="External"/><Relationship Id="rId386" Type="http://schemas.openxmlformats.org/officeDocument/2006/relationships/hyperlink" Target="file:///home/jason/mm-parts-index/invoices/2025-10-17-AIG%20Asia%20Pacific%20Insurance%20Pte.%20Ltd.-MERCEDES-BENZ-55.PDF" TargetMode="External"/><Relationship Id="rId387" Type="http://schemas.openxmlformats.org/officeDocument/2006/relationships/hyperlink" Target="file:///home/jason/mm-parts-index/invoices/2025-10-17-AIG%20Asia%20Pacific%20Insurance%20Pte.%20Ltd.-MERCEDES-BENZ-55.PDF" TargetMode="External"/><Relationship Id="rId388" Type="http://schemas.openxmlformats.org/officeDocument/2006/relationships/hyperlink" Target="file:///home/jason/mm-parts-index/invoices/2025-10-17-AIG%20Asia%20Pacific%20Insurance%20Pte.%20Ltd.-MERCEDES-BENZ-55.PDF" TargetMode="External"/><Relationship Id="rId389" Type="http://schemas.openxmlformats.org/officeDocument/2006/relationships/hyperlink" Target="file:///home/jason/mm-parts-index/invoices/2025-10-17-AIG%20Asia%20Pacific%20Insurance%20Pte.%20Ltd.-MERCEDES-BENZ-55.PDF" TargetMode="External"/><Relationship Id="rId390" Type="http://schemas.openxmlformats.org/officeDocument/2006/relationships/hyperlink" Target="file:///home/jason/mm-parts-index/invoices/2025-10-17-AIG%20Asia%20Pacific%20Insurance%20Pte.%20Ltd.-MERCEDES-BENZ-55.PDF" TargetMode="External"/><Relationship Id="rId391" Type="http://schemas.openxmlformats.org/officeDocument/2006/relationships/hyperlink" Target="file:///home/jason/mm-parts-index/invoices/2025-10-17-AIG%20Asia%20Pacific%20Insurance%20Pte.%20Ltd.-MERCEDES-BENZ-55.PDF" TargetMode="External"/><Relationship Id="rId392" Type="http://schemas.openxmlformats.org/officeDocument/2006/relationships/hyperlink" Target="file:///home/jason/mm-parts-index/invoices/2025-10-17-AIG%20Asia%20Pacific%20Insurance%20Pte.%20Ltd.-MERCEDES-BENZ-55.PDF" TargetMode="External"/><Relationship Id="rId393" Type="http://schemas.openxmlformats.org/officeDocument/2006/relationships/hyperlink" Target="file:///home/jason/mm-parts-index/invoices/2025-10-17-AIG%20Asia%20Pacific%20Insurance%20Pte.%20Ltd.-MERCEDES-BENZ-55.PDF" TargetMode="External"/><Relationship Id="rId394" Type="http://schemas.openxmlformats.org/officeDocument/2006/relationships/hyperlink" Target="file:///home/jason/mm-parts-index/invoices/2025-11-19-Tokio%20Marine%20Insurance%20Singapore%20Ltd-TOYOTA-74.PDF" TargetMode="External"/><Relationship Id="rId395" Type="http://schemas.openxmlformats.org/officeDocument/2006/relationships/hyperlink" Target="file:///home/jason/mm-parts-index/invoices/2025-11-19-Tokio%20Marine%20Insurance%20Singapore%20Ltd-TOYOTA-74.PDF" TargetMode="External"/><Relationship Id="rId396" Type="http://schemas.openxmlformats.org/officeDocument/2006/relationships/hyperlink" Target="file:///home/jason/mm-parts-index/invoices/2025-11-19-Tokio%20Marine%20Insurance%20Singapore%20Ltd-TOYOTA-74.PDF" TargetMode="External"/><Relationship Id="rId397" Type="http://schemas.openxmlformats.org/officeDocument/2006/relationships/hyperlink" Target="file:///home/jason/mm-parts-index/invoices/2025-11-19-Tokio%20Marine%20Insurance%20Singapore%20Ltd-TOYOTA-74.PDF" TargetMode="External"/><Relationship Id="rId398" Type="http://schemas.openxmlformats.org/officeDocument/2006/relationships/hyperlink" Target="file:///home/jason/mm-parts-index/invoices/2025-11-19-Tokio%20Marine%20Insurance%20Singapore%20Ltd-TOYOTA-74.PDF" TargetMode="External"/><Relationship Id="rId399" Type="http://schemas.openxmlformats.org/officeDocument/2006/relationships/hyperlink" Target="file:///home/jason/mm-parts-index/invoices/2025-11-19-Tokio%20Marine%20Insurance%20Singapore%20Ltd-TOYOTA-74.PDF" TargetMode="External"/><Relationship Id="rId400" Type="http://schemas.openxmlformats.org/officeDocument/2006/relationships/hyperlink" Target="file:///home/jason/mm-parts-index/invoices/2025-11-19-Tokio%20Marine%20Insurance%20Singapore%20Ltd-TOYOTA-74.PDF" TargetMode="External"/><Relationship Id="rId401" Type="http://schemas.openxmlformats.org/officeDocument/2006/relationships/hyperlink" Target="file:///home/jason/mm-parts-index/invoices/2025-11-19-Tokio%20Marine%20Insurance%20Singapore%20Ltd-TOYOTA-74.PDF" TargetMode="External"/><Relationship Id="rId402" Type="http://schemas.openxmlformats.org/officeDocument/2006/relationships/hyperlink" Target="file:///home/jason/mm-parts-index/invoices/2025-11-19-Tokio%20Marine%20Insurance%20Singapore%20Ltd-TOYOTA-74.PDF" TargetMode="External"/><Relationship Id="rId403" Type="http://schemas.openxmlformats.org/officeDocument/2006/relationships/hyperlink" Target="file:///home/jason/mm-parts-index/invoices/2026-01-20-Singapore%20Life%20Ltd-HONDA-144.PDF" TargetMode="External"/><Relationship Id="rId404" Type="http://schemas.openxmlformats.org/officeDocument/2006/relationships/hyperlink" Target="file:///home/jason/mm-parts-index/invoices/2026-01-20-Singapore%20Life%20Ltd-HONDA-144.PDF" TargetMode="External"/><Relationship Id="rId405" Type="http://schemas.openxmlformats.org/officeDocument/2006/relationships/hyperlink" Target="file:///home/jason/mm-parts-index/invoices/2026-01-20-Singapore%20Life%20Ltd-HONDA-144.PDF" TargetMode="External"/><Relationship Id="rId406" Type="http://schemas.openxmlformats.org/officeDocument/2006/relationships/hyperlink" Target="file:///home/jason/mm-parts-index/invoices/2026-01-20-Singapore%20Life%20Ltd-HONDA-144.PDF" TargetMode="External"/><Relationship Id="rId407" Type="http://schemas.openxmlformats.org/officeDocument/2006/relationships/hyperlink" Target="file:///home/jason/mm-parts-index/invoices/2026-01-20-Singapore%20Life%20Ltd-HONDA-144.PDF" TargetMode="External"/><Relationship Id="rId408" Type="http://schemas.openxmlformats.org/officeDocument/2006/relationships/hyperlink" Target="file:///home/jason/mm-parts-index/invoices/2026-01-20-Singapore%20Life%20Ltd-HONDA-144.PDF" TargetMode="External"/><Relationship Id="rId409" Type="http://schemas.openxmlformats.org/officeDocument/2006/relationships/hyperlink" Target="file:///home/jason/mm-parts-index/invoices/2026-01-20-Singapore%20Life%20Ltd-HONDA-144.PDF" TargetMode="External"/><Relationship Id="rId410" Type="http://schemas.openxmlformats.org/officeDocument/2006/relationships/hyperlink" Target="file:///home/jason/mm-parts-index/invoices/2026-01-20-Singapore%20Life%20Ltd-HONDA-144.PDF" TargetMode="External"/><Relationship Id="rId411" Type="http://schemas.openxmlformats.org/officeDocument/2006/relationships/hyperlink" Target="file:///home/jason/mm-parts-index/invoices/2026-01-20-Singapore%20Life%20Ltd-HONDA-144.PDF" TargetMode="External"/><Relationship Id="rId412" Type="http://schemas.openxmlformats.org/officeDocument/2006/relationships/hyperlink" Target="file:///home/jason/mm-parts-index/invoices/2026-01-20-Singapore%20Life%20Ltd-HONDA-144.PDF" TargetMode="External"/><Relationship Id="rId413" Type="http://schemas.openxmlformats.org/officeDocument/2006/relationships/hyperlink" Target="file:///home/jason/mm-parts-index/invoices/2026-01-20-Singapore%20Life%20Ltd-HONDA-144.PDF" TargetMode="External"/><Relationship Id="rId414" Type="http://schemas.openxmlformats.org/officeDocument/2006/relationships/hyperlink" Target="file:///home/jason/mm-parts-index/invoices/2026-01-20-Singapore%20Life%20Ltd-HONDA-144.PDF" TargetMode="External"/><Relationship Id="rId415" Type="http://schemas.openxmlformats.org/officeDocument/2006/relationships/hyperlink" Target="file:///home/jason/mm-parts-index/invoices/2026-01-20-Singapore%20Life%20Ltd-HONDA-144.PDF" TargetMode="External"/><Relationship Id="rId416" Type="http://schemas.openxmlformats.org/officeDocument/2006/relationships/hyperlink" Target="file:///home/jason/mm-parts-index/invoices/2026-01-20-Singapore%20Life%20Ltd-HONDA-144.PDF" TargetMode="External"/><Relationship Id="rId417" Type="http://schemas.openxmlformats.org/officeDocument/2006/relationships/hyperlink" Target="file:///home/jason/mm-parts-index/invoices/2026-01-20-Singapore%20Life%20Ltd-HONDA-144.PDF" TargetMode="External"/><Relationship Id="rId418" Type="http://schemas.openxmlformats.org/officeDocument/2006/relationships/hyperlink" Target="file:///home/jason/mm-parts-index/invoices/2026-01-20-Singapore%20Life%20Ltd-HONDA-144.PDF" TargetMode="External"/><Relationship Id="rId419" Type="http://schemas.openxmlformats.org/officeDocument/2006/relationships/hyperlink" Target="file:///home/jason/mm-parts-index/invoices/2026-01-20-Singapore%20Life%20Ltd-HONDA-144.PDF" TargetMode="External"/><Relationship Id="rId420" Type="http://schemas.openxmlformats.org/officeDocument/2006/relationships/hyperlink" Target="file:///home/jason/mm-parts-index/invoices/2026-01-20-Singapore%20Life%20Ltd-HONDA-144.PDF" TargetMode="External"/><Relationship Id="rId421" Type="http://schemas.openxmlformats.org/officeDocument/2006/relationships/hyperlink" Target="file:///home/jason/mm-parts-index/invoices/2026-01-20-Singapore%20Life%20Ltd-HONDA-144.PDF" TargetMode="External"/><Relationship Id="rId422" Type="http://schemas.openxmlformats.org/officeDocument/2006/relationships/hyperlink" Target="file:///home/jason/mm-parts-index/invoices/2026-01-20-Singapore%20Life%20Ltd-HONDA-144.PDF" TargetMode="External"/><Relationship Id="rId423" Type="http://schemas.openxmlformats.org/officeDocument/2006/relationships/hyperlink" Target="file:///home/jason/mm-parts-index/invoices/2026-01-20-Singapore%20Life%20Ltd-HONDA-144.PDF" TargetMode="External"/><Relationship Id="rId424" Type="http://schemas.openxmlformats.org/officeDocument/2006/relationships/hyperlink" Target="file:///home/jason/mm-parts-index/invoices/2026-01-20-Singapore%20Life%20Ltd-HONDA-144.PDF" TargetMode="External"/><Relationship Id="rId425" Type="http://schemas.openxmlformats.org/officeDocument/2006/relationships/hyperlink" Target="file:///home/jason/mm-parts-index/invoices/2026-01-20-Singapore%20Life%20Ltd-HONDA-144.PDF" TargetMode="External"/><Relationship Id="rId426" Type="http://schemas.openxmlformats.org/officeDocument/2006/relationships/hyperlink" Target="file:///home/jason/mm-parts-index/invoices/2026-01-20-Singapore%20Life%20Ltd-HONDA-144.PDF" TargetMode="External"/><Relationship Id="rId427" Type="http://schemas.openxmlformats.org/officeDocument/2006/relationships/hyperlink" Target="file:///home/jason/mm-parts-index/invoices/2026-01-20-Singapore%20Life%20Ltd-HONDA-144.PDF" TargetMode="External"/><Relationship Id="rId428" Type="http://schemas.openxmlformats.org/officeDocument/2006/relationships/hyperlink" Target="file:///home/jason/mm-parts-index/invoices/2026-01-20-Singapore%20Life%20Ltd-HONDA-144.PDF" TargetMode="External"/><Relationship Id="rId429" Type="http://schemas.openxmlformats.org/officeDocument/2006/relationships/hyperlink" Target="file:///home/jason/mm-parts-index/invoices/2026-01-20-Singapore%20Life%20Ltd-HONDA-144.PDF" TargetMode="External"/><Relationship Id="rId430" Type="http://schemas.openxmlformats.org/officeDocument/2006/relationships/hyperlink" Target="file:///home/jason/mm-parts-index/invoices/2026-01-20-Singapore%20Life%20Ltd-HONDA-144.PDF" TargetMode="External"/><Relationship Id="rId431" Type="http://schemas.openxmlformats.org/officeDocument/2006/relationships/hyperlink" Target="file:///home/jason/mm-parts-index/invoices/2026-01-20-Singapore%20Life%20Ltd-HONDA-144.PDF" TargetMode="External"/><Relationship Id="rId432" Type="http://schemas.openxmlformats.org/officeDocument/2006/relationships/hyperlink" Target="file:///home/jason/mm-parts-index/invoices/2026-01-20-Singapore%20Life%20Ltd-HONDA-144.PDF" TargetMode="External"/><Relationship Id="rId433" Type="http://schemas.openxmlformats.org/officeDocument/2006/relationships/hyperlink" Target="file:///home/jason/mm-parts-index/invoices/2026-01-20-Singapore%20Life%20Ltd-HONDA-144.PDF" TargetMode="External"/><Relationship Id="rId434" Type="http://schemas.openxmlformats.org/officeDocument/2006/relationships/hyperlink" Target="file:///home/jason/mm-parts-index/invoices/2026-01-20-Singapore%20Life%20Ltd-HONDA-144.PDF" TargetMode="External"/><Relationship Id="rId435" Type="http://schemas.openxmlformats.org/officeDocument/2006/relationships/hyperlink" Target="file:///home/jason/mm-parts-index/invoices/2026-01-20-Singapore%20Life%20Ltd-HONDA-144.PDF" TargetMode="External"/><Relationship Id="rId436" Type="http://schemas.openxmlformats.org/officeDocument/2006/relationships/hyperlink" Target="file:///home/jason/mm-parts-index/invoices/2026-01-20-Singapore%20Life%20Ltd-HONDA-144.PDF" TargetMode="External"/><Relationship Id="rId437" Type="http://schemas.openxmlformats.org/officeDocument/2006/relationships/hyperlink" Target="file:///home/jason/mm-parts-index/invoices/2026-01-20-Singapore%20Life%20Ltd-HONDA-144.PDF" TargetMode="External"/><Relationship Id="rId438" Type="http://schemas.openxmlformats.org/officeDocument/2006/relationships/hyperlink" Target="file:///home/jason/mm-parts-index/invoices/2026-01-20-Singapore%20Life%20Ltd-HONDA-144.PDF" TargetMode="External"/><Relationship Id="rId439" Type="http://schemas.openxmlformats.org/officeDocument/2006/relationships/hyperlink" Target="file:///home/jason/mm-parts-index/invoices/2026-01-20-Singapore%20Life%20Ltd-HONDA-144.PDF" TargetMode="External"/><Relationship Id="rId440" Type="http://schemas.openxmlformats.org/officeDocument/2006/relationships/hyperlink" Target="file:///home/jason/mm-parts-index/invoices/2026-01-20-Singapore%20Life%20Ltd-HONDA-144.PDF" TargetMode="External"/><Relationship Id="rId441" Type="http://schemas.openxmlformats.org/officeDocument/2006/relationships/hyperlink" Target="file:///home/jason/mm-parts-index/invoices/2026-01-20-Singapore%20Life%20Ltd-HONDA-144.PDF" TargetMode="External"/><Relationship Id="rId442" Type="http://schemas.openxmlformats.org/officeDocument/2006/relationships/hyperlink" Target="file:///home/jason/mm-parts-index/invoices/2026-01-20-Singapore%20Life%20Ltd-HONDA-144.PDF" TargetMode="External"/><Relationship Id="rId443" Type="http://schemas.openxmlformats.org/officeDocument/2006/relationships/hyperlink" Target="file:///home/jason/mm-parts-index/invoices/2026-01-20-Singapore%20Life%20Ltd-HONDA-144.PDF" TargetMode="External"/><Relationship Id="rId444" Type="http://schemas.openxmlformats.org/officeDocument/2006/relationships/hyperlink" Target="file:///home/jason/mm-parts-index/invoices/2026-01-20-Singapore%20Life%20Ltd-HONDA-144.PDF" TargetMode="External"/><Relationship Id="rId445" Type="http://schemas.openxmlformats.org/officeDocument/2006/relationships/hyperlink" Target="file:///home/jason/mm-parts-index/invoices/2026-01-20-Singapore%20Life%20Ltd-HONDA-144.PDF" TargetMode="External"/><Relationship Id="rId446" Type="http://schemas.openxmlformats.org/officeDocument/2006/relationships/hyperlink" Target="file:///home/jason/mm-parts-index/invoices/2026-01-20-Singapore%20Life%20Ltd-HONDA-144.PDF" TargetMode="External"/><Relationship Id="rId447" Type="http://schemas.openxmlformats.org/officeDocument/2006/relationships/hyperlink" Target="file:///home/jason/mm-parts-index/invoices/2026-01-20-Singapore%20Life%20Ltd-HONDA-144.PDF" TargetMode="External"/><Relationship Id="rId448" Type="http://schemas.openxmlformats.org/officeDocument/2006/relationships/hyperlink" Target="file:///home/jason/mm-parts-index/invoices/2026-01-20-Singapore%20Life%20Ltd-HONDA-144.PDF" TargetMode="External"/><Relationship Id="rId449" Type="http://schemas.openxmlformats.org/officeDocument/2006/relationships/hyperlink" Target="file:///home/jason/mm-parts-index/invoices/2026-01-20-Singapore%20Life%20Ltd-HONDA-144.PDF" TargetMode="External"/><Relationship Id="rId450" Type="http://schemas.openxmlformats.org/officeDocument/2006/relationships/hyperlink" Target="file:///home/jason/mm-parts-index/invoices/2026-01-20-Singapore%20Life%20Ltd-HONDA-144.PDF" TargetMode="External"/><Relationship Id="rId451" Type="http://schemas.openxmlformats.org/officeDocument/2006/relationships/hyperlink" Target="file:///home/jason/mm-parts-index/invoices/2026-01-20-Singapore%20Life%20Ltd-HONDA-144.PDF" TargetMode="External"/><Relationship Id="rId452" Type="http://schemas.openxmlformats.org/officeDocument/2006/relationships/hyperlink" Target="file:///home/jason/mm-parts-index/invoices/2026-01-20-Singapore%20Life%20Ltd-HONDA-144.PDF" TargetMode="External"/><Relationship Id="rId453" Type="http://schemas.openxmlformats.org/officeDocument/2006/relationships/hyperlink" Target="file:///home/jason/mm-parts-index/invoices/2026-01-20-Singapore%20Life%20Ltd-HONDA-144.PDF" TargetMode="External"/><Relationship Id="rId454" Type="http://schemas.openxmlformats.org/officeDocument/2006/relationships/hyperlink" Target="file:///home/jason/mm-parts-index/invoices/2026-01-20-Singapore%20Life%20Ltd-HONDA-144.PDF" TargetMode="External"/><Relationship Id="rId455" Type="http://schemas.openxmlformats.org/officeDocument/2006/relationships/hyperlink" Target="file:///home/jason/mm-parts-index/invoices/2026-01-20-Singapore%20Life%20Ltd-HONDA-144.PDF" TargetMode="External"/><Relationship Id="rId456" Type="http://schemas.openxmlformats.org/officeDocument/2006/relationships/hyperlink" Target="file:///home/jason/mm-parts-index/invoices/2026-01-20-Singapore%20Life%20Ltd-HONDA-144.PDF" TargetMode="External"/><Relationship Id="rId457" Type="http://schemas.openxmlformats.org/officeDocument/2006/relationships/hyperlink" Target="file:///home/jason/mm-parts-index/invoices/2026-01-20-Singapore%20Life%20Ltd-HONDA-144.PDF" TargetMode="External"/><Relationship Id="rId458" Type="http://schemas.openxmlformats.org/officeDocument/2006/relationships/hyperlink" Target="file:///home/jason/mm-parts-index/invoices/2026-01-20-Singapore%20Life%20Ltd-HONDA-144.PDF" TargetMode="External"/><Relationship Id="rId459" Type="http://schemas.openxmlformats.org/officeDocument/2006/relationships/hyperlink" Target="file:///home/jason/mm-parts-index/invoices/2026-01-20-Singapore%20Life%20Ltd-HONDA-144.PDF" TargetMode="External"/><Relationship Id="rId460" Type="http://schemas.openxmlformats.org/officeDocument/2006/relationships/hyperlink" Target="file:///home/jason/mm-parts-index/invoices/2026-01-20-Singapore%20Life%20Ltd-HONDA-144.PDF" TargetMode="External"/><Relationship Id="rId461" Type="http://schemas.openxmlformats.org/officeDocument/2006/relationships/hyperlink" Target="file:///home/jason/mm-parts-index/invoices/2025-12-02-Allianz%20Insurance%20Singapore%20Pte.%20Ltd.-TESLA-94.PDF" TargetMode="External"/><Relationship Id="rId462" Type="http://schemas.openxmlformats.org/officeDocument/2006/relationships/hyperlink" Target="file:///home/jason/mm-parts-index/invoices/2025-12-02-Allianz%20Insurance%20Singapore%20Pte.%20Ltd.-TESLA-94.PDF" TargetMode="External"/><Relationship Id="rId463" Type="http://schemas.openxmlformats.org/officeDocument/2006/relationships/hyperlink" Target="file:///home/jason/mm-parts-index/invoices/2025-12-02-Allianz%20Insurance%20Singapore%20Pte.%20Ltd.-TESLA-94.PDF" TargetMode="External"/><Relationship Id="rId464" Type="http://schemas.openxmlformats.org/officeDocument/2006/relationships/hyperlink" Target="file:///home/jason/mm-parts-index/invoices/2025-12-02-Allianz%20Insurance%20Singapore%20Pte.%20Ltd.-TESLA-94.PDF" TargetMode="External"/><Relationship Id="rId465" Type="http://schemas.openxmlformats.org/officeDocument/2006/relationships/hyperlink" Target="file:///home/jason/mm-parts-index/invoices/2025-12-02-Allianz%20Insurance%20Singapore%20Pte.%20Ltd.-TESLA-94.PDF" TargetMode="External"/><Relationship Id="rId466" Type="http://schemas.openxmlformats.org/officeDocument/2006/relationships/hyperlink" Target="file:///home/jason/mm-parts-index/invoices/2025-12-02-Allianz%20Insurance%20Singapore%20Pte.%20Ltd.-TESLA-94.PDF" TargetMode="External"/><Relationship Id="rId467" Type="http://schemas.openxmlformats.org/officeDocument/2006/relationships/hyperlink" Target="file:///home/jason/mm-parts-index/invoices/2025-12-02-Allianz%20Insurance%20Singapore%20Pte.%20Ltd.-TESLA-94.PDF" TargetMode="External"/><Relationship Id="rId468" Type="http://schemas.openxmlformats.org/officeDocument/2006/relationships/hyperlink" Target="file:///home/jason/mm-parts-index/invoices/2025-12-02-Allianz%20Insurance%20Singapore%20Pte.%20Ltd.-TESLA-94.PDF" TargetMode="External"/><Relationship Id="rId469" Type="http://schemas.openxmlformats.org/officeDocument/2006/relationships/hyperlink" Target="file:///home/jason/mm-parts-index/invoices/2025-12-02-Allianz%20Insurance%20Singapore%20Pte.%20Ltd.-TESLA-94.PDF" TargetMode="External"/><Relationship Id="rId470" Type="http://schemas.openxmlformats.org/officeDocument/2006/relationships/hyperlink" Target="file:///home/jason/mm-parts-index/invoices/2025-12-02-Allianz%20Insurance%20Singapore%20Pte.%20Ltd.-TESLA-94.PDF" TargetMode="External"/><Relationship Id="rId471" Type="http://schemas.openxmlformats.org/officeDocument/2006/relationships/hyperlink" Target="file:///home/jason/mm-parts-index/invoices/2025-12-02-Allianz%20Insurance%20Singapore%20Pte.%20Ltd.-TESLA-94.PDF" TargetMode="External"/><Relationship Id="rId472" Type="http://schemas.openxmlformats.org/officeDocument/2006/relationships/hyperlink" Target="file:///home/jason/mm-parts-index/invoices/2025-12-02-Allianz%20Insurance%20Singapore%20Pte.%20Ltd.-TESLA-94.PDF" TargetMode="External"/><Relationship Id="rId473" Type="http://schemas.openxmlformats.org/officeDocument/2006/relationships/hyperlink" Target="file:///home/jason/mm-parts-index/invoices/2025-12-02-Allianz%20Insurance%20Singapore%20Pte.%20Ltd.-TESLA-94.PDF" TargetMode="External"/><Relationship Id="rId474" Type="http://schemas.openxmlformats.org/officeDocument/2006/relationships/hyperlink" Target="file:///home/jason/mm-parts-index/invoices/2025-12-02-Allianz%20Insurance%20Singapore%20Pte.%20Ltd.-TESLA-94.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0-10-AIG%20Asia%20Pacific%20Insurance%20Pte.%20Ltd.-NISSAN-46.PDF" TargetMode="External"/><Relationship Id="rId3" Type="http://schemas.openxmlformats.org/officeDocument/2006/relationships/hyperlink" Target="file:///home/jason/mm-parts-index/invoices/2026-02-09-Allianz%20Insurance%20Singapore%20Pte.%20Ltd.-TESLA-171.JPG" TargetMode="External"/><Relationship Id="rId4" Type="http://schemas.openxmlformats.org/officeDocument/2006/relationships/hyperlink" Target="file:///home/jason/mm-parts-index/invoices/2025-12-02-Allianz%20Insurance%20Singapore%20Pte.%20Ltd.-SCANIA-92.PDF" TargetMode="External"/><Relationship Id="rId5" Type="http://schemas.openxmlformats.org/officeDocument/2006/relationships/hyperlink" Target="file:///home/jason/mm-parts-index/invoices/2026-02-06-Tokio%20Marine%20Insurance%20Singapore%20Ltd-OPEL-154.PDF" TargetMode="External"/><Relationship Id="rId6" Type="http://schemas.openxmlformats.org/officeDocument/2006/relationships/hyperlink" Target="file:///home/jason/mm-parts-index/invoices/2025-11-22-AIG%20Asia%20Pacific%20Insurance%20Pte.%20Ltd.-LEXUS-80.PDF" TargetMode="External"/><Relationship Id="rId7" Type="http://schemas.openxmlformats.org/officeDocument/2006/relationships/hyperlink" Target="file:///home/jason/mm-parts-index/invoices/2025-12-10-Allianz%20Insurance%20Singapore%20Pte.%20Ltd.-BMW-108.PDF" TargetMode="External"/><Relationship Id="rId8" Type="http://schemas.openxmlformats.org/officeDocument/2006/relationships/hyperlink" Target="file:///home/jason/mm-parts-index/invoices/2025-11-10-Singapore%20Life%20Ltd-BYD-69.PDF" TargetMode="External"/><Relationship Id="rId9" Type="http://schemas.openxmlformats.org/officeDocument/2006/relationships/hyperlink" Target="file:///home/jason/mm-parts-index/invoices/2026-02-25-ECICS%20Limited-HYUNDAI-193.PDF" TargetMode="External"/><Relationship Id="rId10" Type="http://schemas.openxmlformats.org/officeDocument/2006/relationships/hyperlink" Target="file:///home/jason/mm-parts-index/invoices/2025-10-16-Allianz%20Insurance%20Singapore%20Pte.%20Ltd.-VOLKSWAGEN-51.PDF" TargetMode="External"/><Relationship Id="rId11" Type="http://schemas.openxmlformats.org/officeDocument/2006/relationships/hyperlink" Target="file:///home/jason/mm-parts-index/invoices/2025-11-19-AIG%20Asia%20Pacific%20Insurance%20Pte.%20Ltd.-HONDA-73.PDF" TargetMode="External"/><Relationship Id="rId12" Type="http://schemas.openxmlformats.org/officeDocument/2006/relationships/hyperlink" Target="file:///home/jason/mm-parts-index/invoices/2025-12-10-Tokio%20Marine%20Insurance%20Singapore%20Ltd-PEUGEOT-107.PDF" TargetMode="External"/><Relationship Id="rId13" Type="http://schemas.openxmlformats.org/officeDocument/2006/relationships/hyperlink" Target="file:///home/jason/mm-parts-index/invoices/2025-09-27-AIG%20Asia%20Pacific%20Insurance%20Pte.%20Ltd.-SUZUKI-32.PDF" TargetMode="External"/><Relationship Id="rId14" Type="http://schemas.openxmlformats.org/officeDocument/2006/relationships/hyperlink" Target="file:///home/jason/mm-parts-index/invoices/2026-02-11-Allianz%20Insurance%20Singapore%20Pte.%20Ltd.-TOYOTA-176.PDF" TargetMode="External"/><Relationship Id="rId15" Type="http://schemas.openxmlformats.org/officeDocument/2006/relationships/hyperlink" Target="file:///home/jason/mm-parts-index/invoices/2025-09-26-EQ%20Insurance%20Company%20Ltd-MITSUBISHI-25.PDF" TargetMode="External"/><Relationship Id="rId16" Type="http://schemas.openxmlformats.org/officeDocument/2006/relationships/hyperlink" Target="file:///home/jason/mm-parts-index/invoices/2026-01-20-Singapore%20Life%20Ltd-SKODA-145.PDF" TargetMode="External"/><Relationship Id="rId17" Type="http://schemas.openxmlformats.org/officeDocument/2006/relationships/hyperlink" Target="file:///home/jason/mm-parts-index/invoices/2025-10-03-AIG%20Asia%20Pacific%20Insurance%20Pte.%20Ltd.-MAZDA-38.PDF" TargetMode="External"/><Relationship Id="rId18" Type="http://schemas.openxmlformats.org/officeDocument/2006/relationships/hyperlink" Target="file:///home/jason/mm-parts-index/invoices/2026-01-29-Great%20Eastern%20General%20Insurance%20Limited-MERCEDES-BENZ-150.PDF" TargetMode="External"/><Relationship Id="rId19" Type="http://schemas.openxmlformats.org/officeDocument/2006/relationships/hyperlink" Target="file:///home/jason/mm-parts-index/invoices/2026-01-08-AIG%20Asia%20Pacific%20Insurance%20Pte.%20Ltd.-SUBARU-138.PDF" TargetMode="External"/><Relationship Id="rId20" Type="http://schemas.openxmlformats.org/officeDocument/2006/relationships/hyperlink" Target="file:///home/jason/mm-parts-index/invoices/2025-12-26-Etiqa%20Insurance%20Pte%20Ltd-KIA-126.JPG" TargetMode="External"/><Relationship Id="rId21" Type="http://schemas.openxmlformats.org/officeDocument/2006/relationships/hyperlink" Target="file:///home/jason/mm-parts-index/invoices/2025-08-29-HL%20Assurance%20Pte%20Ltd-NISSAN-17.PDF" TargetMode="External"/><Relationship Id="rId22" Type="http://schemas.openxmlformats.org/officeDocument/2006/relationships/hyperlink" Target="file:///home/jason/mm-parts-index/invoices/2025-12-02-Allianz%20Insurance%20Singapore%20Pte.%20Ltd.-TESLA-100.JPG" TargetMode="External"/><Relationship Id="rId23" Type="http://schemas.openxmlformats.org/officeDocument/2006/relationships/hyperlink" Target="file:///home/jason/mm-parts-index/invoices/2025-12-02-Allianz%20Insurance%20Singapore%20Pte.%20Ltd.-SCANIA-93.PDF" TargetMode="External"/><Relationship Id="rId24" Type="http://schemas.openxmlformats.org/officeDocument/2006/relationships/hyperlink" Target="file:///home/jason/mm-parts-index/invoices/2025-11-21-EQ%20Insurance%20Company%20Ltd-LEXUS-78.PDF" TargetMode="External"/><Relationship Id="rId25" Type="http://schemas.openxmlformats.org/officeDocument/2006/relationships/hyperlink" Target="file:///home/jason/mm-parts-index/invoices/2025-12-10-Allianz%20Insurance%20Singapore%20Pte.%20Ltd.-BMW-116.PDF" TargetMode="External"/><Relationship Id="rId26" Type="http://schemas.openxmlformats.org/officeDocument/2006/relationships/hyperlink" Target="file:///home/jason/mm-parts-index/invoices/2026-01-08-Etiqa%20Insurance%20Pte%20Ltd-BYD-137.PDF" TargetMode="External"/><Relationship Id="rId27" Type="http://schemas.openxmlformats.org/officeDocument/2006/relationships/hyperlink" Target="file:///home/jason/mm-parts-index/invoices/2025-11-07-Tokio%20Marine%20Insurance%20Singapore%20Ltd-HYUNDAI-67.PDF" TargetMode="External"/><Relationship Id="rId28" Type="http://schemas.openxmlformats.org/officeDocument/2006/relationships/hyperlink" Target="file:///home/jason/mm-parts-index/invoices/2025-10-16-Allianz%20Insurance%20Singapore%20Pte.%20Ltd.-VOLKSWAGEN-52.PDF" TargetMode="External"/><Relationship Id="rId29" Type="http://schemas.openxmlformats.org/officeDocument/2006/relationships/hyperlink" Target="file:///home/jason/mm-parts-index/invoices/2026-01-15-AIG%20Asia%20Pacific%20Insurance%20Pte.%20Ltd.-HONDA-142.PDF" TargetMode="External"/><Relationship Id="rId30" Type="http://schemas.openxmlformats.org/officeDocument/2006/relationships/hyperlink" Target="file:///home/jason/mm-parts-index/invoices/2026-02-11-Allianz%20Insurance%20Singapore%20Pte.%20Ltd.-TOYOTA-175.PDF" TargetMode="External"/><Relationship Id="rId31" Type="http://schemas.openxmlformats.org/officeDocument/2006/relationships/hyperlink" Target="file:///home/jason/mm-parts-index/invoices/2026-02-09-Allianz%20Insurance%20Singapore%20Pte.%20Ltd.-TESLA-155.PDF" TargetMode="External"/><Relationship Id="rId32" Type="http://schemas.openxmlformats.org/officeDocument/2006/relationships/hyperlink" Target="file:///home/jason/mm-parts-index/invoices/2026-02-09-Allianz%20Insurance%20Singapore%20Pte.%20Ltd.-TESLA-173.JPG" TargetMode="External"/><Relationship Id="rId33" Type="http://schemas.openxmlformats.org/officeDocument/2006/relationships/hyperlink" Target="file:///home/jason/mm-parts-index/invoices/2026-01-21-HL%20Assurance%20Pte%20Ltd-TOYOTA-146.PDF"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file:///home/jason/mm-parts-index/invoices/2025-08-17-Allianz%20Insurance%20Singapore%20Pte.%20Ltd.-MERCEDES-BENZ-6.JPG" TargetMode="External"/><Relationship Id="rId36" Type="http://schemas.openxmlformats.org/officeDocument/2006/relationships/hyperlink" Target="file:///home/jason/mm-parts-index/invoices/2026-02-25-ECICS%20Limited-TOYOTA-181.PDF" TargetMode="External"/><Relationship Id="rId37" Type="http://schemas.openxmlformats.org/officeDocument/2006/relationships/hyperlink" Target="file:///home/jason/mm-parts-index/invoices/2026-01-07-Tokio%20Marine%20Insurance%20Singapore%20Ltd-MERCEDES-BENZ-135.PDF" TargetMode="External"/><Relationship Id="rId38" Type="http://schemas.openxmlformats.org/officeDocument/2006/relationships/hyperlink" Target="file:///home/jason/mm-parts-index/invoices/2026-02-09-Allianz%20Insurance%20Singapore%20Pte.%20Ltd.-TESLA-169.PDF" TargetMode="External"/><Relationship Id="rId39" Type="http://schemas.openxmlformats.org/officeDocument/2006/relationships/hyperlink" Target="file:///home/jason/mm-parts-index/invoices/2025-09-26-EQ%20Insurance%20Company%20Ltd-TOYOTA-26.PDF" TargetMode="External"/><Relationship Id="rId40" Type="http://schemas.openxmlformats.org/officeDocument/2006/relationships/hyperlink" Target="file:///home/jason/mm-parts-index/invoices/2026-02-09-Allianz%20Insurance%20Singapore%20Pte.%20Ltd.-TESLA-158.JPG" TargetMode="External"/><Relationship Id="rId41" Type="http://schemas.openxmlformats.org/officeDocument/2006/relationships/hyperlink" Target="file:///home/jason/mm-parts-index/invoices/2025-05-20-Allianz%20Insurance%20Singapore%20Pte.%20Ltd.-TOYOTA-1.PDF" TargetMode="External"/><Relationship Id="rId42" Type="http://schemas.openxmlformats.org/officeDocument/2006/relationships/hyperlink" Target="file:///home/jason/mm-parts-index/invoices/2025-10-17-AIG%20Asia%20Pacific%20Insurance%20Pte.%20Ltd.-MERCEDES-BENZ-55.PDF" TargetMode="External"/><Relationship Id="rId43" Type="http://schemas.openxmlformats.org/officeDocument/2006/relationships/hyperlink" Target="file:///home/jason/mm-parts-index/invoices/2025-11-19-Tokio%20Marine%20Insurance%20Singapore%20Ltd-TOYOTA-74.PDF" TargetMode="External"/><Relationship Id="rId44" Type="http://schemas.openxmlformats.org/officeDocument/2006/relationships/hyperlink" Target="file:///home/jason/mm-parts-index/invoices/2026-01-20-Singapore%20Life%20Ltd-HONDA-144.PDF" TargetMode="External"/><Relationship Id="rId45" Type="http://schemas.openxmlformats.org/officeDocument/2006/relationships/hyperlink" Target="file:///home/jason/mm-parts-index/invoices/2025-12-02-Allianz%20Insurance%20Singapore%20Pte.%20Ltd.-TESLA-9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4C5C"/>
    <pageSetUpPr fitToPage="1"/>
  </sheetPr>
  <dimension ref="B1:D38"/>
  <sheetFormatPr defaultRowHeight="15" outlineLevelRow="0" outlineLevelCol="0" x14ac:dyDescent="55"/>
  <cols>
    <col min="1" max="1" width="4" customWidth="1"/>
    <col min="2" max="2" width="46" customWidth="1"/>
    <col min="3" max="3" width="22" customWidth="1"/>
    <col min="4" max="4" width="70" customWidth="1"/>
  </cols>
  <sheetData>
    <row r="1" ht="28" customHeight="1" spans="2:4" x14ac:dyDescent="0.25">
      <c r="B1" s="1" t="s">
        <v>0</v>
      </c>
      <c r="C1" s="1"/>
      <c r="D1" s="1"/>
    </row>
    <row r="2" spans="2:4" x14ac:dyDescent="0.25">
      <c r="B2" s="2" t="s">
        <v>1</v>
      </c>
      <c r="C2" s="2"/>
      <c r="D2" s="2"/>
    </row>
    <row r="4" spans="2:4" x14ac:dyDescent="0.25">
      <c r="B4" s="3" t="s">
        <v>2</v>
      </c>
      <c r="C4" s="3"/>
      <c r="D4" s="3"/>
    </row>
    <row r="5" ht="62" customHeight="1" spans="2:4" x14ac:dyDescent="0.25">
      <c r="B5" s="4" t="s">
        <v>3</v>
      </c>
      <c r="C5" s="4"/>
      <c r="D5" s="4"/>
    </row>
    <row r="6" ht="48" customHeight="1" spans="2:4" x14ac:dyDescent="0.25">
      <c r="B6" s="4" t="s">
        <v>4</v>
      </c>
      <c r="C6" s="4"/>
      <c r="D6" s="4"/>
    </row>
    <row r="8" spans="2:4" x14ac:dyDescent="0.25">
      <c r="B8" s="3" t="s">
        <v>5</v>
      </c>
      <c r="C8" s="3"/>
      <c r="D8" s="3"/>
    </row>
    <row r="9" spans="2:4" x14ac:dyDescent="0.25">
      <c r="B9" s="4" t="s">
        <v>6</v>
      </c>
      <c r="C9" s="4"/>
      <c r="D9" s="4"/>
    </row>
    <row r="10" ht="32" customHeight="1" spans="2:4" x14ac:dyDescent="0.25">
      <c r="B10" s="4" t="s">
        <v>7</v>
      </c>
      <c r="C10" s="4"/>
      <c r="D10" s="4"/>
    </row>
    <row r="11" ht="32" customHeight="1" spans="2:4" x14ac:dyDescent="0.25">
      <c r="B11" s="4" t="s">
        <v>8</v>
      </c>
      <c r="C11" s="4"/>
      <c r="D11" s="4"/>
    </row>
    <row r="13" spans="2:4" x14ac:dyDescent="0.25">
      <c r="B13" s="3" t="s">
        <v>9</v>
      </c>
      <c r="C13" s="3"/>
      <c r="D13" s="3"/>
    </row>
    <row r="14" ht="46" customHeight="1" spans="2:4" x14ac:dyDescent="0.25">
      <c r="B14" s="5" t="s">
        <v>10</v>
      </c>
      <c r="C14" s="6" t="s">
        <v>11</v>
      </c>
      <c r="D14" s="7" t="s">
        <v>12</v>
      </c>
    </row>
    <row r="15" ht="46" customHeight="1" spans="2:4" x14ac:dyDescent="0.25">
      <c r="B15" s="5" t="s">
        <v>13</v>
      </c>
      <c r="C15" s="6" t="s">
        <v>14</v>
      </c>
      <c r="D15" s="7" t="s">
        <v>15</v>
      </c>
    </row>
    <row r="16" ht="46" customHeight="1" spans="2:4" x14ac:dyDescent="0.25">
      <c r="B16" s="5" t="s">
        <v>16</v>
      </c>
      <c r="C16" s="6" t="s">
        <v>17</v>
      </c>
      <c r="D16" s="7" t="s">
        <v>18</v>
      </c>
    </row>
    <row r="17" ht="46" customHeight="1" spans="2:4" x14ac:dyDescent="0.25">
      <c r="B17" s="5" t="s">
        <v>19</v>
      </c>
      <c r="C17" s="6" t="s">
        <v>20</v>
      </c>
      <c r="D17" s="7" t="s">
        <v>21</v>
      </c>
    </row>
    <row r="18" ht="46" customHeight="1" spans="2:4" x14ac:dyDescent="0.25">
      <c r="B18" s="5" t="s">
        <v>22</v>
      </c>
      <c r="C18" s="6" t="s">
        <v>23</v>
      </c>
      <c r="D18" s="7" t="s">
        <v>24</v>
      </c>
    </row>
    <row r="19" ht="46" customHeight="1" spans="2:4" x14ac:dyDescent="0.25">
      <c r="B19" s="5" t="s">
        <v>25</v>
      </c>
      <c r="C19" s="6" t="s">
        <v>26</v>
      </c>
      <c r="D19" s="7" t="s">
        <v>27</v>
      </c>
    </row>
    <row r="21" ht="48" customHeight="1" spans="2:4" x14ac:dyDescent="0.25">
      <c r="B21" s="8" t="s">
        <v>28</v>
      </c>
      <c r="C21" s="8"/>
      <c r="D21" s="8"/>
    </row>
    <row r="23" spans="2:4" x14ac:dyDescent="0.25">
      <c r="B23" s="3" t="s">
        <v>29</v>
      </c>
      <c r="C23" s="3"/>
      <c r="D23" s="3"/>
    </row>
    <row r="24" ht="32" customHeight="1" spans="2:4" x14ac:dyDescent="0.25">
      <c r="B24" s="4" t="s">
        <v>30</v>
      </c>
      <c r="C24" s="4"/>
      <c r="D24" s="4"/>
    </row>
    <row r="25" ht="32" customHeight="1" spans="2:4" x14ac:dyDescent="0.25">
      <c r="B25" s="4" t="s">
        <v>31</v>
      </c>
      <c r="C25" s="4"/>
      <c r="D25" s="4"/>
    </row>
    <row r="26" ht="32" customHeight="1" spans="2:4" x14ac:dyDescent="0.25">
      <c r="B26" s="4" t="s">
        <v>32</v>
      </c>
      <c r="C26" s="4"/>
      <c r="D26" s="4"/>
    </row>
    <row r="28" spans="2:4" x14ac:dyDescent="0.25">
      <c r="B28" s="3" t="s">
        <v>33</v>
      </c>
      <c r="C28" s="3"/>
      <c r="D28" s="3"/>
    </row>
    <row r="29" ht="32" customHeight="1" spans="2:4" x14ac:dyDescent="0.25">
      <c r="B29" s="9" t="s">
        <v>34</v>
      </c>
      <c r="C29" s="10" t="s">
        <v>35</v>
      </c>
      <c r="D29" s="10"/>
    </row>
    <row r="30" ht="32" customHeight="1" spans="2:4" x14ac:dyDescent="0.25">
      <c r="B30" s="9" t="s">
        <v>36</v>
      </c>
      <c r="C30" s="10" t="s">
        <v>37</v>
      </c>
      <c r="D30" s="10"/>
    </row>
    <row r="31" ht="32" customHeight="1" spans="2:4" x14ac:dyDescent="0.25">
      <c r="B31" s="9" t="s">
        <v>38</v>
      </c>
      <c r="C31" s="10" t="s">
        <v>39</v>
      </c>
      <c r="D31" s="10"/>
    </row>
    <row r="32" ht="32" customHeight="1" spans="2:4" x14ac:dyDescent="0.25">
      <c r="B32" s="9" t="s">
        <v>40</v>
      </c>
      <c r="C32" s="10" t="s">
        <v>41</v>
      </c>
      <c r="D32" s="10"/>
    </row>
    <row r="33" ht="32" customHeight="1" spans="2:4" x14ac:dyDescent="0.25">
      <c r="B33" s="9" t="s">
        <v>42</v>
      </c>
      <c r="C33" s="10" t="s">
        <v>43</v>
      </c>
      <c r="D33" s="10"/>
    </row>
    <row r="34" ht="32" customHeight="1" spans="2:4" x14ac:dyDescent="0.25">
      <c r="B34" s="9" t="s">
        <v>44</v>
      </c>
      <c r="C34" s="10" t="s">
        <v>45</v>
      </c>
      <c r="D34" s="10"/>
    </row>
    <row r="36" spans="2:4" x14ac:dyDescent="0.25">
      <c r="B36" s="2" t="s">
        <v>46</v>
      </c>
      <c r="C36" s="2"/>
      <c r="D36" s="2"/>
    </row>
    <row r="38" ht="64" customHeight="1" spans="2:4" x14ac:dyDescent="0.25">
      <c r="B38" s="11" t="s">
        <v>47</v>
      </c>
      <c r="C38" s="11"/>
      <c r="D38" s="11"/>
    </row>
  </sheetData>
  <mergeCells count="24">
    <mergeCell ref="B1:D1"/>
    <mergeCell ref="B2:D2"/>
    <mergeCell ref="B4:D4"/>
    <mergeCell ref="B5:D5"/>
    <mergeCell ref="B6:D6"/>
    <mergeCell ref="B8:D8"/>
    <mergeCell ref="B9:D9"/>
    <mergeCell ref="B10:D10"/>
    <mergeCell ref="B11:D11"/>
    <mergeCell ref="B13:D13"/>
    <mergeCell ref="B21:D21"/>
    <mergeCell ref="B23:D23"/>
    <mergeCell ref="B24:D24"/>
    <mergeCell ref="B25:D25"/>
    <mergeCell ref="B26:D26"/>
    <mergeCell ref="B28:D28"/>
    <mergeCell ref="C29:D29"/>
    <mergeCell ref="C30:D30"/>
    <mergeCell ref="C31:D31"/>
    <mergeCell ref="C32:D32"/>
    <mergeCell ref="C33:D33"/>
    <mergeCell ref="C34:D34"/>
    <mergeCell ref="B36:D36"/>
    <mergeCell ref="B38:D38"/>
  </mergeCells>
  <pageMargins left="0.4" right="0.4" top="0.5" bottom="0.5" header="0.2" footer="0.2"/>
  <pageSetup paperSize="9" orientation="portrait" horizontalDpi="4294967295" verticalDpi="4294967295" scale="100"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R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 customWidth="1"/>
    <col min="2" max="2" width="7" customWidth="1"/>
    <col min="3" max="3" width="12" customWidth="1"/>
    <col min="5" max="5" width="46" customWidth="1"/>
    <col min="6" max="6" width="30" customWidth="1"/>
    <col min="7" max="8" width="20" customWidth="1"/>
    <col min="9" max="9" width="12" customWidth="1"/>
    <col min="10" max="10" width="46" customWidth="1"/>
    <col min="11" max="11" width="24" customWidth="1"/>
    <col min="12" max="12" width="22" customWidth="1"/>
    <col min="13" max="13" width="26" customWidth="1"/>
    <col min="14" max="14" width="10" hidden="1" customWidth="1"/>
    <col min="15" max="15" width="52" customWidth="1"/>
    <col min="16" max="16" width="24" customWidth="1"/>
    <col min="17" max="17" width="18" customWidth="1"/>
    <col min="18" max="18" width="12" customWidth="1"/>
  </cols>
  <sheetData>
    <row r="1" ht="34" customHeight="1" spans="1:18" x14ac:dyDescent="0.25">
      <c r="A1" s="12" t="s">
        <v>48</v>
      </c>
      <c r="B1" s="12" t="s">
        <v>49</v>
      </c>
      <c r="C1" s="12" t="s">
        <v>50</v>
      </c>
      <c r="D1" s="12" t="s">
        <v>51</v>
      </c>
      <c r="E1" s="12" t="s">
        <v>52</v>
      </c>
      <c r="F1" s="12" t="s">
        <v>53</v>
      </c>
      <c r="G1" s="12" t="s">
        <v>34</v>
      </c>
      <c r="H1" s="12" t="s">
        <v>36</v>
      </c>
      <c r="I1" s="12" t="s">
        <v>54</v>
      </c>
      <c r="J1" s="12" t="s">
        <v>55</v>
      </c>
      <c r="K1" s="13" t="s">
        <v>56</v>
      </c>
      <c r="L1" s="13" t="s">
        <v>57</v>
      </c>
      <c r="M1" s="13" t="s">
        <v>58</v>
      </c>
      <c r="N1" s="12" t="s">
        <v>59</v>
      </c>
      <c r="O1" s="14" t="s">
        <v>60</v>
      </c>
      <c r="P1" s="14" t="s">
        <v>61</v>
      </c>
      <c r="Q1" s="14" t="s">
        <v>62</v>
      </c>
      <c r="R1" s="14" t="s">
        <v>63</v>
      </c>
    </row>
    <row r="2" spans="1:18" x14ac:dyDescent="0.25">
      <c r="A2" s="7">
        <v>1</v>
      </c>
      <c r="B2" s="7" t="s">
        <v>64</v>
      </c>
      <c r="C2" s="7" t="s">
        <v>65</v>
      </c>
      <c r="D2" s="15" t="s">
        <v>66</v>
      </c>
      <c r="E2" s="7" t="s">
        <v>67</v>
      </c>
      <c r="F2" s="7" t="s">
        <v>68</v>
      </c>
      <c r="G2" s="16" t="s">
        <v>69</v>
      </c>
      <c r="H2" s="16" t="s">
        <v>70</v>
      </c>
      <c r="I2" s="7" t="s">
        <v>71</v>
      </c>
      <c r="J2" s="7" t="s">
        <v>72</v>
      </c>
      <c r="K2" s="17" t="s">
        <v>73</v>
      </c>
      <c r="L2" s="17" t="s">
        <v>73</v>
      </c>
      <c r="M2" s="17" t="s">
        <v>73</v>
      </c>
      <c r="N2" s="7" t="s">
        <v>74</v>
      </c>
      <c r="O2" s="7" t="s">
        <v>75</v>
      </c>
      <c r="P2" s="18" t="s">
        <v>76</v>
      </c>
      <c r="R2" s="15" t="s">
        <v>77</v>
      </c>
    </row>
    <row r="3" spans="1:18" x14ac:dyDescent="0.25">
      <c r="A3" s="7">
        <v>2</v>
      </c>
      <c r="B3" s="7" t="s">
        <v>64</v>
      </c>
      <c r="C3" s="7" t="s">
        <v>65</v>
      </c>
      <c r="D3" s="15" t="s">
        <v>66</v>
      </c>
      <c r="E3" s="7" t="s">
        <v>67</v>
      </c>
      <c r="F3" s="7" t="s">
        <v>78</v>
      </c>
      <c r="G3" s="16" t="s">
        <v>79</v>
      </c>
      <c r="H3" s="16" t="s">
        <v>80</v>
      </c>
      <c r="I3" s="7" t="s">
        <v>81</v>
      </c>
      <c r="J3" s="7" t="s">
        <v>73</v>
      </c>
      <c r="K3" s="17" t="s">
        <v>73</v>
      </c>
      <c r="L3" s="17" t="s">
        <v>73</v>
      </c>
      <c r="M3" s="17" t="s">
        <v>73</v>
      </c>
      <c r="N3" s="7" t="s">
        <v>74</v>
      </c>
      <c r="O3" s="7" t="s">
        <v>82</v>
      </c>
      <c r="P3" s="18" t="s">
        <v>76</v>
      </c>
      <c r="R3" s="15" t="s">
        <v>77</v>
      </c>
    </row>
    <row r="4" spans="1:18" x14ac:dyDescent="0.25">
      <c r="A4" s="7">
        <v>3</v>
      </c>
      <c r="B4" s="7" t="s">
        <v>64</v>
      </c>
      <c r="C4" s="7" t="s">
        <v>65</v>
      </c>
      <c r="D4" s="15" t="s">
        <v>66</v>
      </c>
      <c r="E4" s="7" t="s">
        <v>67</v>
      </c>
      <c r="F4" s="7" t="s">
        <v>83</v>
      </c>
      <c r="G4" s="16" t="s">
        <v>84</v>
      </c>
      <c r="H4" s="16" t="s">
        <v>85</v>
      </c>
      <c r="I4" s="7" t="s">
        <v>81</v>
      </c>
      <c r="J4" s="7" t="s">
        <v>86</v>
      </c>
      <c r="K4" s="17" t="s">
        <v>73</v>
      </c>
      <c r="L4" s="17" t="s">
        <v>73</v>
      </c>
      <c r="M4" s="17" t="s">
        <v>73</v>
      </c>
      <c r="N4" s="7" t="s">
        <v>74</v>
      </c>
      <c r="O4" s="7" t="s">
        <v>87</v>
      </c>
      <c r="P4" s="19" t="s">
        <v>88</v>
      </c>
      <c r="R4" s="15" t="s">
        <v>77</v>
      </c>
    </row>
    <row r="5" spans="1:18" x14ac:dyDescent="0.25">
      <c r="A5" s="7">
        <v>4</v>
      </c>
      <c r="B5" s="7" t="s">
        <v>64</v>
      </c>
      <c r="C5" s="7" t="s">
        <v>65</v>
      </c>
      <c r="D5" s="15" t="s">
        <v>66</v>
      </c>
      <c r="E5" s="7" t="s">
        <v>67</v>
      </c>
      <c r="F5" s="7" t="s">
        <v>89</v>
      </c>
      <c r="G5" s="16" t="s">
        <v>90</v>
      </c>
      <c r="H5" s="16" t="s">
        <v>91</v>
      </c>
      <c r="I5" s="7" t="s">
        <v>81</v>
      </c>
      <c r="J5" s="7" t="s">
        <v>73</v>
      </c>
      <c r="K5" s="17" t="s">
        <v>73</v>
      </c>
      <c r="L5" s="17" t="s">
        <v>73</v>
      </c>
      <c r="M5" s="17" t="s">
        <v>73</v>
      </c>
      <c r="N5" s="7" t="s">
        <v>74</v>
      </c>
      <c r="O5" s="7" t="s">
        <v>92</v>
      </c>
      <c r="P5" s="18" t="s">
        <v>76</v>
      </c>
      <c r="R5" s="15" t="s">
        <v>77</v>
      </c>
    </row>
    <row r="6" spans="1:18" x14ac:dyDescent="0.25">
      <c r="A6" s="7">
        <v>5</v>
      </c>
      <c r="B6" s="7" t="s">
        <v>93</v>
      </c>
      <c r="C6" s="7" t="s">
        <v>65</v>
      </c>
      <c r="D6" s="15" t="s">
        <v>66</v>
      </c>
      <c r="E6" s="7" t="s">
        <v>67</v>
      </c>
      <c r="F6" s="7" t="s">
        <v>94</v>
      </c>
      <c r="G6" s="16" t="s">
        <v>95</v>
      </c>
      <c r="H6" s="16" t="s">
        <v>96</v>
      </c>
      <c r="I6" s="20" t="s">
        <v>97</v>
      </c>
      <c r="J6" s="7" t="s">
        <v>98</v>
      </c>
      <c r="K6" s="17" t="s">
        <v>73</v>
      </c>
      <c r="L6" s="17" t="s">
        <v>73</v>
      </c>
      <c r="M6" s="17" t="s">
        <v>73</v>
      </c>
      <c r="N6" s="7" t="s">
        <v>74</v>
      </c>
      <c r="O6" s="7" t="s">
        <v>99</v>
      </c>
      <c r="P6" s="18" t="s">
        <v>76</v>
      </c>
      <c r="R6" s="15" t="s">
        <v>100</v>
      </c>
    </row>
    <row r="7" spans="1:18" x14ac:dyDescent="0.25">
      <c r="A7" s="7">
        <v>6</v>
      </c>
      <c r="B7" s="7" t="s">
        <v>101</v>
      </c>
      <c r="C7" s="7" t="s">
        <v>65</v>
      </c>
      <c r="D7" s="15" t="s">
        <v>66</v>
      </c>
      <c r="E7" s="7" t="s">
        <v>102</v>
      </c>
      <c r="F7" s="7" t="s">
        <v>103</v>
      </c>
      <c r="G7" s="16" t="s">
        <v>104</v>
      </c>
      <c r="H7" s="16" t="s">
        <v>105</v>
      </c>
      <c r="I7" s="7" t="s">
        <v>73</v>
      </c>
      <c r="J7" s="7" t="s">
        <v>73</v>
      </c>
      <c r="K7" s="17" t="s">
        <v>73</v>
      </c>
      <c r="L7" s="17" t="s">
        <v>73</v>
      </c>
      <c r="M7" s="17" t="s">
        <v>73</v>
      </c>
      <c r="N7" s="7" t="s">
        <v>106</v>
      </c>
      <c r="O7" s="7" t="s">
        <v>107</v>
      </c>
      <c r="P7" s="19" t="s">
        <v>88</v>
      </c>
      <c r="R7" s="15" t="s">
        <v>77</v>
      </c>
    </row>
    <row r="8" spans="1:18" x14ac:dyDescent="0.25">
      <c r="A8" s="7">
        <v>7</v>
      </c>
      <c r="B8" s="7" t="s">
        <v>108</v>
      </c>
      <c r="C8" s="7" t="s">
        <v>65</v>
      </c>
      <c r="D8" s="15" t="s">
        <v>66</v>
      </c>
      <c r="E8" s="7" t="s">
        <v>67</v>
      </c>
      <c r="F8" s="7" t="s">
        <v>109</v>
      </c>
      <c r="G8" s="16" t="s">
        <v>110</v>
      </c>
      <c r="H8" s="16" t="s">
        <v>111</v>
      </c>
      <c r="I8" s="7" t="s">
        <v>81</v>
      </c>
      <c r="J8" s="7" t="s">
        <v>112</v>
      </c>
      <c r="K8" s="17" t="s">
        <v>73</v>
      </c>
      <c r="L8" s="17" t="s">
        <v>73</v>
      </c>
      <c r="M8" s="17" t="s">
        <v>73</v>
      </c>
      <c r="N8" s="7" t="s">
        <v>74</v>
      </c>
      <c r="O8" s="7" t="s">
        <v>113</v>
      </c>
      <c r="P8" s="18" t="s">
        <v>76</v>
      </c>
      <c r="R8" s="15" t="s">
        <v>114</v>
      </c>
    </row>
    <row r="9" spans="1:18" x14ac:dyDescent="0.25">
      <c r="A9" s="7">
        <v>8</v>
      </c>
      <c r="B9" s="7" t="s">
        <v>115</v>
      </c>
      <c r="C9" s="7" t="s">
        <v>65</v>
      </c>
      <c r="D9" s="15" t="s">
        <v>66</v>
      </c>
      <c r="E9" s="7" t="s">
        <v>67</v>
      </c>
      <c r="F9" s="7" t="s">
        <v>116</v>
      </c>
      <c r="G9" s="16" t="s">
        <v>117</v>
      </c>
      <c r="H9" s="16" t="s">
        <v>118</v>
      </c>
      <c r="I9" s="7" t="s">
        <v>81</v>
      </c>
      <c r="J9" s="7" t="s">
        <v>119</v>
      </c>
      <c r="K9" s="17" t="s">
        <v>73</v>
      </c>
      <c r="L9" s="17" t="s">
        <v>73</v>
      </c>
      <c r="M9" s="17" t="s">
        <v>73</v>
      </c>
      <c r="N9" s="7" t="s">
        <v>74</v>
      </c>
      <c r="O9" s="7" t="s">
        <v>120</v>
      </c>
      <c r="P9" s="18" t="s">
        <v>76</v>
      </c>
      <c r="R9" s="15" t="s">
        <v>77</v>
      </c>
    </row>
    <row r="10" spans="1:15" x14ac:dyDescent="0.25">
      <c r="A10" s="7">
        <v>9</v>
      </c>
      <c r="B10" s="7" t="s">
        <v>121</v>
      </c>
      <c r="C10" s="7" t="s">
        <v>65</v>
      </c>
      <c r="D10" s="15" t="s">
        <v>66</v>
      </c>
      <c r="E10" s="7" t="s">
        <v>122</v>
      </c>
      <c r="F10" s="7" t="s">
        <v>123</v>
      </c>
      <c r="G10" s="16" t="s">
        <v>124</v>
      </c>
      <c r="H10" s="16" t="s">
        <v>125</v>
      </c>
      <c r="I10" s="7" t="s">
        <v>73</v>
      </c>
      <c r="J10" s="7" t="s">
        <v>73</v>
      </c>
      <c r="K10" s="17" t="s">
        <v>73</v>
      </c>
      <c r="L10" s="17" t="s">
        <v>73</v>
      </c>
      <c r="M10" s="17" t="s">
        <v>73</v>
      </c>
      <c r="N10" s="7" t="s">
        <v>126</v>
      </c>
      <c r="O10" s="21" t="s">
        <v>127</v>
      </c>
    </row>
    <row r="11" spans="1:15" x14ac:dyDescent="0.25">
      <c r="A11" s="7">
        <v>10</v>
      </c>
      <c r="B11" s="7" t="s">
        <v>128</v>
      </c>
      <c r="C11" s="7" t="s">
        <v>65</v>
      </c>
      <c r="D11" s="15" t="s">
        <v>66</v>
      </c>
      <c r="E11" s="7" t="s">
        <v>122</v>
      </c>
      <c r="F11" s="7" t="s">
        <v>123</v>
      </c>
      <c r="G11" s="16" t="s">
        <v>129</v>
      </c>
      <c r="H11" s="16" t="s">
        <v>130</v>
      </c>
      <c r="I11" s="7" t="s">
        <v>73</v>
      </c>
      <c r="J11" s="7" t="s">
        <v>73</v>
      </c>
      <c r="K11" s="17" t="s">
        <v>73</v>
      </c>
      <c r="L11" s="17" t="s">
        <v>73</v>
      </c>
      <c r="M11" s="17" t="s">
        <v>73</v>
      </c>
      <c r="N11" s="7" t="s">
        <v>126</v>
      </c>
      <c r="O11" s="21" t="s">
        <v>127</v>
      </c>
    </row>
    <row r="12" spans="1:18" x14ac:dyDescent="0.25">
      <c r="A12" s="7">
        <v>11</v>
      </c>
      <c r="B12" s="7" t="s">
        <v>131</v>
      </c>
      <c r="C12" s="7" t="s">
        <v>132</v>
      </c>
      <c r="D12" s="15" t="s">
        <v>66</v>
      </c>
      <c r="E12" s="7" t="s">
        <v>67</v>
      </c>
      <c r="F12" s="7" t="s">
        <v>133</v>
      </c>
      <c r="G12" s="16" t="s">
        <v>134</v>
      </c>
      <c r="H12" s="16" t="s">
        <v>135</v>
      </c>
      <c r="I12" s="7" t="s">
        <v>81</v>
      </c>
      <c r="J12" s="7" t="s">
        <v>73</v>
      </c>
      <c r="K12" s="17" t="s">
        <v>73</v>
      </c>
      <c r="L12" s="17" t="s">
        <v>73</v>
      </c>
      <c r="M12" s="17" t="s">
        <v>73</v>
      </c>
      <c r="N12" s="7" t="s">
        <v>74</v>
      </c>
      <c r="O12" s="7" t="s">
        <v>136</v>
      </c>
      <c r="P12" s="18" t="s">
        <v>76</v>
      </c>
      <c r="R12" s="15" t="s">
        <v>137</v>
      </c>
    </row>
    <row r="13" spans="1:18" x14ac:dyDescent="0.25">
      <c r="A13" s="7">
        <v>12</v>
      </c>
      <c r="B13" s="7" t="s">
        <v>131</v>
      </c>
      <c r="C13" s="7" t="s">
        <v>132</v>
      </c>
      <c r="D13" s="15" t="s">
        <v>66</v>
      </c>
      <c r="E13" s="7" t="s">
        <v>138</v>
      </c>
      <c r="F13" s="7" t="s">
        <v>139</v>
      </c>
      <c r="G13" s="16" t="s">
        <v>140</v>
      </c>
      <c r="H13" s="16" t="s">
        <v>140</v>
      </c>
      <c r="I13" s="20" t="s">
        <v>97</v>
      </c>
      <c r="J13" s="7" t="s">
        <v>141</v>
      </c>
      <c r="K13" s="17" t="s">
        <v>73</v>
      </c>
      <c r="L13" s="17" t="s">
        <v>73</v>
      </c>
      <c r="M13" s="17" t="s">
        <v>73</v>
      </c>
      <c r="N13" s="7" t="s">
        <v>74</v>
      </c>
      <c r="O13" s="7" t="s">
        <v>142</v>
      </c>
      <c r="P13" s="18" t="s">
        <v>143</v>
      </c>
      <c r="Q13" s="16" t="s">
        <v>144</v>
      </c>
      <c r="R13" s="15" t="s">
        <v>100</v>
      </c>
    </row>
    <row r="14" spans="1:18" x14ac:dyDescent="0.25">
      <c r="A14" s="7">
        <v>13</v>
      </c>
      <c r="B14" s="7" t="s">
        <v>131</v>
      </c>
      <c r="C14" s="7" t="s">
        <v>132</v>
      </c>
      <c r="D14" s="15" t="s">
        <v>66</v>
      </c>
      <c r="E14" s="7" t="s">
        <v>67</v>
      </c>
      <c r="F14" s="7" t="s">
        <v>145</v>
      </c>
      <c r="G14" s="16" t="s">
        <v>146</v>
      </c>
      <c r="H14" s="16" t="s">
        <v>147</v>
      </c>
      <c r="I14" s="20" t="s">
        <v>97</v>
      </c>
      <c r="J14" s="7" t="s">
        <v>148</v>
      </c>
      <c r="K14" s="17" t="s">
        <v>73</v>
      </c>
      <c r="L14" s="17" t="s">
        <v>73</v>
      </c>
      <c r="M14" s="17" t="s">
        <v>73</v>
      </c>
      <c r="N14" s="7" t="s">
        <v>74</v>
      </c>
      <c r="O14" s="7" t="s">
        <v>149</v>
      </c>
      <c r="P14" s="19" t="s">
        <v>88</v>
      </c>
      <c r="R14" s="15" t="s">
        <v>100</v>
      </c>
    </row>
    <row r="15" spans="1:16" x14ac:dyDescent="0.25">
      <c r="A15" s="7">
        <v>14</v>
      </c>
      <c r="B15" s="7" t="s">
        <v>131</v>
      </c>
      <c r="C15" s="7" t="s">
        <v>132</v>
      </c>
      <c r="D15" s="15" t="s">
        <v>66</v>
      </c>
      <c r="E15" s="7" t="s">
        <v>67</v>
      </c>
      <c r="F15" s="7" t="s">
        <v>150</v>
      </c>
      <c r="G15" s="16" t="s">
        <v>151</v>
      </c>
      <c r="H15" s="16" t="s">
        <v>152</v>
      </c>
      <c r="I15" s="7" t="s">
        <v>71</v>
      </c>
      <c r="J15" s="7" t="s">
        <v>153</v>
      </c>
      <c r="K15" s="17" t="s">
        <v>73</v>
      </c>
      <c r="L15" s="17" t="s">
        <v>73</v>
      </c>
      <c r="M15" s="17" t="s">
        <v>73</v>
      </c>
      <c r="N15" s="7" t="s">
        <v>74</v>
      </c>
      <c r="O15" s="7" t="s">
        <v>154</v>
      </c>
      <c r="P15" s="19" t="s">
        <v>88</v>
      </c>
    </row>
    <row r="16" spans="1:15" x14ac:dyDescent="0.25">
      <c r="A16" s="7">
        <v>15</v>
      </c>
      <c r="B16" s="7" t="s">
        <v>155</v>
      </c>
      <c r="C16" s="7" t="s">
        <v>132</v>
      </c>
      <c r="D16" s="15" t="s">
        <v>66</v>
      </c>
      <c r="E16" s="7" t="s">
        <v>156</v>
      </c>
      <c r="F16" s="7" t="s">
        <v>157</v>
      </c>
      <c r="G16" s="16" t="s">
        <v>158</v>
      </c>
      <c r="H16" s="16" t="s">
        <v>159</v>
      </c>
      <c r="I16" s="20" t="s">
        <v>97</v>
      </c>
      <c r="J16" s="7" t="s">
        <v>160</v>
      </c>
      <c r="K16" s="17" t="s">
        <v>73</v>
      </c>
      <c r="L16" s="17" t="s">
        <v>73</v>
      </c>
      <c r="M16" s="17" t="s">
        <v>73</v>
      </c>
      <c r="N16" s="7" t="s">
        <v>74</v>
      </c>
      <c r="O16" s="21" t="s">
        <v>161</v>
      </c>
    </row>
    <row r="17" spans="1:15" x14ac:dyDescent="0.25">
      <c r="A17" s="7">
        <v>16</v>
      </c>
      <c r="B17" s="7" t="s">
        <v>155</v>
      </c>
      <c r="C17" s="7" t="s">
        <v>132</v>
      </c>
      <c r="D17" s="15" t="s">
        <v>66</v>
      </c>
      <c r="E17" s="7" t="s">
        <v>156</v>
      </c>
      <c r="F17" s="7" t="s">
        <v>162</v>
      </c>
      <c r="G17" s="16" t="s">
        <v>163</v>
      </c>
      <c r="H17" s="16" t="s">
        <v>159</v>
      </c>
      <c r="I17" s="20" t="s">
        <v>97</v>
      </c>
      <c r="J17" s="7" t="s">
        <v>164</v>
      </c>
      <c r="K17" s="17" t="s">
        <v>73</v>
      </c>
      <c r="L17" s="17" t="s">
        <v>73</v>
      </c>
      <c r="M17" s="17" t="s">
        <v>73</v>
      </c>
      <c r="N17" s="7" t="s">
        <v>74</v>
      </c>
      <c r="O17" s="21" t="s">
        <v>161</v>
      </c>
    </row>
    <row r="18" spans="1:15" x14ac:dyDescent="0.25">
      <c r="A18" s="7">
        <v>17</v>
      </c>
      <c r="B18" s="7" t="s">
        <v>155</v>
      </c>
      <c r="C18" s="7" t="s">
        <v>132</v>
      </c>
      <c r="D18" s="15" t="s">
        <v>66</v>
      </c>
      <c r="E18" s="7" t="s">
        <v>156</v>
      </c>
      <c r="F18" s="7" t="s">
        <v>165</v>
      </c>
      <c r="G18" s="16" t="s">
        <v>166</v>
      </c>
      <c r="H18" s="16" t="s">
        <v>159</v>
      </c>
      <c r="I18" s="20" t="s">
        <v>97</v>
      </c>
      <c r="J18" s="7" t="s">
        <v>164</v>
      </c>
      <c r="K18" s="17" t="s">
        <v>73</v>
      </c>
      <c r="L18" s="17" t="s">
        <v>73</v>
      </c>
      <c r="M18" s="17" t="s">
        <v>73</v>
      </c>
      <c r="N18" s="7" t="s">
        <v>74</v>
      </c>
      <c r="O18" s="21" t="s">
        <v>161</v>
      </c>
    </row>
    <row r="19" spans="1:15" x14ac:dyDescent="0.25">
      <c r="A19" s="7">
        <v>18</v>
      </c>
      <c r="B19" s="7" t="s">
        <v>155</v>
      </c>
      <c r="C19" s="7" t="s">
        <v>132</v>
      </c>
      <c r="D19" s="15" t="s">
        <v>66</v>
      </c>
      <c r="E19" s="7" t="s">
        <v>156</v>
      </c>
      <c r="F19" s="7" t="s">
        <v>167</v>
      </c>
      <c r="G19" s="16" t="s">
        <v>168</v>
      </c>
      <c r="H19" s="16" t="s">
        <v>159</v>
      </c>
      <c r="I19" s="20" t="s">
        <v>97</v>
      </c>
      <c r="J19" s="7" t="s">
        <v>164</v>
      </c>
      <c r="K19" s="17" t="s">
        <v>73</v>
      </c>
      <c r="L19" s="17" t="s">
        <v>73</v>
      </c>
      <c r="M19" s="17" t="s">
        <v>73</v>
      </c>
      <c r="N19" s="7" t="s">
        <v>74</v>
      </c>
      <c r="O19" s="21" t="s">
        <v>161</v>
      </c>
    </row>
    <row r="20" spans="1:15" x14ac:dyDescent="0.25">
      <c r="A20" s="7">
        <v>19</v>
      </c>
      <c r="B20" s="7" t="s">
        <v>155</v>
      </c>
      <c r="C20" s="7" t="s">
        <v>132</v>
      </c>
      <c r="D20" s="15" t="s">
        <v>66</v>
      </c>
      <c r="E20" s="7" t="s">
        <v>156</v>
      </c>
      <c r="F20" s="7" t="s">
        <v>169</v>
      </c>
      <c r="G20" s="16" t="s">
        <v>170</v>
      </c>
      <c r="H20" s="16" t="s">
        <v>159</v>
      </c>
      <c r="I20" s="20" t="s">
        <v>97</v>
      </c>
      <c r="J20" s="7" t="s">
        <v>171</v>
      </c>
      <c r="K20" s="17" t="s">
        <v>73</v>
      </c>
      <c r="L20" s="17" t="s">
        <v>73</v>
      </c>
      <c r="M20" s="17" t="s">
        <v>73</v>
      </c>
      <c r="N20" s="7" t="s">
        <v>74</v>
      </c>
      <c r="O20" s="21" t="s">
        <v>161</v>
      </c>
    </row>
    <row r="21" spans="1:15" x14ac:dyDescent="0.25">
      <c r="A21" s="7">
        <v>20</v>
      </c>
      <c r="B21" s="7" t="s">
        <v>155</v>
      </c>
      <c r="C21" s="7" t="s">
        <v>132</v>
      </c>
      <c r="D21" s="15" t="s">
        <v>66</v>
      </c>
      <c r="E21" s="7" t="s">
        <v>156</v>
      </c>
      <c r="F21" s="7" t="s">
        <v>172</v>
      </c>
      <c r="G21" s="16" t="s">
        <v>173</v>
      </c>
      <c r="H21" s="16" t="s">
        <v>159</v>
      </c>
      <c r="I21" s="7" t="s">
        <v>81</v>
      </c>
      <c r="J21" s="7" t="s">
        <v>174</v>
      </c>
      <c r="K21" s="17" t="s">
        <v>73</v>
      </c>
      <c r="L21" s="17" t="s">
        <v>73</v>
      </c>
      <c r="M21" s="17" t="s">
        <v>73</v>
      </c>
      <c r="N21" s="7" t="s">
        <v>74</v>
      </c>
      <c r="O21" s="21" t="s">
        <v>161</v>
      </c>
    </row>
    <row r="22" spans="1:15" x14ac:dyDescent="0.25">
      <c r="A22" s="7">
        <v>21</v>
      </c>
      <c r="B22" s="7" t="s">
        <v>155</v>
      </c>
      <c r="C22" s="7" t="s">
        <v>132</v>
      </c>
      <c r="D22" s="15" t="s">
        <v>66</v>
      </c>
      <c r="E22" s="7" t="s">
        <v>156</v>
      </c>
      <c r="F22" s="7" t="s">
        <v>175</v>
      </c>
      <c r="G22" s="16" t="s">
        <v>176</v>
      </c>
      <c r="H22" s="16" t="s">
        <v>159</v>
      </c>
      <c r="I22" s="7" t="s">
        <v>81</v>
      </c>
      <c r="J22" s="7" t="s">
        <v>177</v>
      </c>
      <c r="K22" s="17" t="s">
        <v>73</v>
      </c>
      <c r="L22" s="17" t="s">
        <v>73</v>
      </c>
      <c r="M22" s="17" t="s">
        <v>73</v>
      </c>
      <c r="N22" s="7" t="s">
        <v>74</v>
      </c>
      <c r="O22" s="21" t="s">
        <v>161</v>
      </c>
    </row>
    <row r="23" spans="1:15" x14ac:dyDescent="0.25">
      <c r="A23" s="7">
        <v>22</v>
      </c>
      <c r="B23" s="7" t="s">
        <v>155</v>
      </c>
      <c r="C23" s="7" t="s">
        <v>132</v>
      </c>
      <c r="D23" s="15" t="s">
        <v>66</v>
      </c>
      <c r="E23" s="7" t="s">
        <v>156</v>
      </c>
      <c r="F23" s="7" t="s">
        <v>178</v>
      </c>
      <c r="G23" s="16" t="s">
        <v>179</v>
      </c>
      <c r="H23" s="16" t="s">
        <v>159</v>
      </c>
      <c r="I23" s="7" t="s">
        <v>81</v>
      </c>
      <c r="J23" s="7" t="s">
        <v>180</v>
      </c>
      <c r="K23" s="17" t="s">
        <v>73</v>
      </c>
      <c r="L23" s="17" t="s">
        <v>73</v>
      </c>
      <c r="M23" s="17" t="s">
        <v>73</v>
      </c>
      <c r="N23" s="7" t="s">
        <v>74</v>
      </c>
      <c r="O23" s="21" t="s">
        <v>161</v>
      </c>
    </row>
    <row r="24" spans="1:18" x14ac:dyDescent="0.25">
      <c r="A24" s="7">
        <v>23</v>
      </c>
      <c r="B24" s="7" t="s">
        <v>181</v>
      </c>
      <c r="C24" s="7" t="s">
        <v>132</v>
      </c>
      <c r="D24" s="15" t="s">
        <v>66</v>
      </c>
      <c r="E24" s="7" t="s">
        <v>67</v>
      </c>
      <c r="F24" s="7" t="s">
        <v>182</v>
      </c>
      <c r="G24" s="16" t="s">
        <v>183</v>
      </c>
      <c r="H24" s="16" t="s">
        <v>184</v>
      </c>
      <c r="I24" s="7" t="s">
        <v>71</v>
      </c>
      <c r="J24" s="7" t="s">
        <v>185</v>
      </c>
      <c r="K24" s="17" t="s">
        <v>73</v>
      </c>
      <c r="L24" s="17" t="s">
        <v>73</v>
      </c>
      <c r="M24" s="17" t="s">
        <v>73</v>
      </c>
      <c r="N24" s="7" t="s">
        <v>74</v>
      </c>
      <c r="O24" s="7" t="s">
        <v>186</v>
      </c>
      <c r="P24" s="18" t="s">
        <v>187</v>
      </c>
      <c r="R24" s="15" t="s">
        <v>77</v>
      </c>
    </row>
    <row r="25" spans="1:18" x14ac:dyDescent="0.25">
      <c r="A25" s="7">
        <v>24</v>
      </c>
      <c r="B25" s="7" t="s">
        <v>188</v>
      </c>
      <c r="C25" s="7" t="s">
        <v>132</v>
      </c>
      <c r="D25" s="15" t="s">
        <v>66</v>
      </c>
      <c r="E25" s="7" t="s">
        <v>67</v>
      </c>
      <c r="F25" s="7" t="s">
        <v>189</v>
      </c>
      <c r="G25" s="16" t="s">
        <v>190</v>
      </c>
      <c r="H25" s="16" t="s">
        <v>191</v>
      </c>
      <c r="I25" s="7" t="s">
        <v>81</v>
      </c>
      <c r="J25" s="7" t="s">
        <v>73</v>
      </c>
      <c r="K25" s="17" t="s">
        <v>73</v>
      </c>
      <c r="L25" s="17" t="s">
        <v>73</v>
      </c>
      <c r="M25" s="17" t="s">
        <v>73</v>
      </c>
      <c r="N25" s="7" t="s">
        <v>74</v>
      </c>
      <c r="O25" s="7" t="s">
        <v>192</v>
      </c>
      <c r="P25" s="18" t="s">
        <v>76</v>
      </c>
      <c r="R25" s="15" t="s">
        <v>77</v>
      </c>
    </row>
    <row r="26" spans="1:18" x14ac:dyDescent="0.25">
      <c r="A26" s="7">
        <v>25</v>
      </c>
      <c r="B26" s="7" t="s">
        <v>193</v>
      </c>
      <c r="C26" s="7" t="s">
        <v>132</v>
      </c>
      <c r="D26" s="15" t="s">
        <v>66</v>
      </c>
      <c r="E26" s="7" t="s">
        <v>67</v>
      </c>
      <c r="F26" s="7" t="s">
        <v>194</v>
      </c>
      <c r="G26" s="16" t="s">
        <v>195</v>
      </c>
      <c r="H26" s="16" t="s">
        <v>196</v>
      </c>
      <c r="I26" s="7" t="s">
        <v>81</v>
      </c>
      <c r="J26" s="7" t="s">
        <v>73</v>
      </c>
      <c r="K26" s="17" t="s">
        <v>73</v>
      </c>
      <c r="L26" s="17" t="s">
        <v>73</v>
      </c>
      <c r="M26" s="17" t="s">
        <v>73</v>
      </c>
      <c r="N26" s="7" t="s">
        <v>74</v>
      </c>
      <c r="O26" s="7" t="s">
        <v>197</v>
      </c>
      <c r="P26" s="18" t="s">
        <v>76</v>
      </c>
      <c r="R26" s="15" t="s">
        <v>77</v>
      </c>
    </row>
  </sheetData>
  <autoFilter ref="A1:R26"/>
  <dataValidations count="2">
    <dataValidation type="list" allowBlank="1" sqref="K10:K26">
      <formula1>"First reading is right,Second reading is right,Both are wrong,Can't tell"</formula1>
    </dataValidation>
    <dataValidation type="list" allowBlank="1" sqref="K2:K26">
      <formula1>"First reading is right,Second reading is right,Both are wrong,Can't tell"</formula1>
    </dataValidation>
  </dataValidations>
  <hyperlinks>
    <hyperlink ref="D2" r:id="rId1"/>
    <hyperlink ref="R2" r:id="rId2" tooltip="https://www.amayama.com/en/part/kia/1420608250B"/>
    <hyperlink ref="D3" r:id="rId3"/>
    <hyperlink ref="R3" r:id="rId4" tooltip="https://www.amayama.com/en/part/kia/86570H8400"/>
    <hyperlink ref="D4" r:id="rId5"/>
    <hyperlink ref="R4" r:id="rId6" tooltip="https://www.amayama.com/en/part/kia/66311H8401"/>
    <hyperlink ref="D5" r:id="rId7"/>
    <hyperlink ref="R5" r:id="rId8" tooltip="https://www.amayama.com/en/part/kia/86812H8400"/>
    <hyperlink ref="D6" r:id="rId9"/>
    <hyperlink ref="R6" r:id="rId10" tooltip="https://service.tesla.com/docs/ServiceBulletins/External/SB/SB-23-31-001_Inspect_Front_Lower_Lateral_Links.pdf"/>
    <hyperlink ref="D7" r:id="rId11"/>
    <hyperlink ref="R7" r:id="rId12" tooltip="https://www.amayama.com/en/part/honda/71152T6A901"/>
    <hyperlink ref="D8" r:id="rId13"/>
    <hyperlink ref="R8" r:id="rId14" tooltip="https://www.coxmazdaparts.com/oem-parts/mazda-composite-headlamp-bhn251041b"/>
    <hyperlink ref="D9" r:id="rId15"/>
    <hyperlink ref="R9" r:id="rId16" tooltip="https://www.amayama.com/en/part/mercedes-benz/A2056203401"/>
    <hyperlink ref="D10" r:id="rId17"/>
    <hyperlink ref="D11" r:id="rId18"/>
    <hyperlink ref="D12" r:id="rId19"/>
    <hyperlink ref="R12" r:id="rId20" tooltip="https://evannex.com/products/sidem-outer-tie-rod-end-for-tesla-model-3-and-model-y"/>
    <hyperlink ref="D13" r:id="rId21"/>
    <hyperlink ref="R13" r:id="rId22" tooltip="https://service.tesla.com/docs/BodyRepair/Body_Repair_Procedures/Model_3_2024/HTML/en-us/GUID-202F8DCE-1CF7-4B03-A12E-881C006229CD.html"/>
    <hyperlink ref="D14" r:id="rId23"/>
    <hyperlink ref="R14" r:id="rId24" tooltip="https://service.tesla.com/docs/Model3/ServiceManual/2024/en-us/GUID-0E559B86-3C41-4D62-8B20-6F70032A9BA4.html"/>
    <hyperlink ref="D15" r:id="rId25"/>
    <hyperlink ref="D16" r:id="rId26"/>
    <hyperlink ref="D17" r:id="rId27"/>
    <hyperlink ref="D18" r:id="rId28"/>
    <hyperlink ref="D19" r:id="rId29"/>
    <hyperlink ref="D20" r:id="rId30"/>
    <hyperlink ref="D21" r:id="rId31"/>
    <hyperlink ref="D22" r:id="rId32"/>
    <hyperlink ref="D23" r:id="rId33"/>
    <hyperlink ref="D24" r:id="rId34"/>
    <hyperlink ref="R24" r:id="rId35" tooltip="https://www.amayama.com/en/part/toyota/1671130082"/>
    <hyperlink ref="D25" r:id="rId36"/>
    <hyperlink ref="R25" r:id="rId37" tooltip="https://www.amayama.com/en/part/mercedes-benz/A2538800128"/>
    <hyperlink ref="D26" r:id="rId38"/>
    <hyperlink ref="R26" r:id="rId39" tooltip="https://www.amayama.com/en/part/honda/77930T5AJ01"/>
  </hyperlinks>
  <pageMargins left="0.4" right="0.4" top="0.5" bottom="0.5" header="0.2" footer="0.2"/>
  <pageSetup paperSize="9" orientation="landscape" horizontalDpi="4294967295" verticalDpi="4294967295"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P36"/>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7" customWidth="1"/>
    <col min="2" max="2" width="8" customWidth="1"/>
    <col min="3" max="3" width="34" customWidth="1"/>
    <col min="4" max="4" width="6" customWidth="1"/>
    <col min="5" max="5" width="12" customWidth="1"/>
    <col min="7" max="7" width="24" customWidth="1"/>
    <col min="8" max="8" width="16" customWidth="1"/>
    <col min="9" max="12" width="14" customWidth="1"/>
    <col min="13" max="13" width="10" hidden="1" customWidth="1"/>
    <col min="14" max="14" width="11" hidden="1" customWidth="1"/>
    <col min="15" max="15" width="10" hidden="1" customWidth="1"/>
    <col min="16" max="16" width="11" hidden="1" customWidth="1"/>
  </cols>
  <sheetData>
    <row r="1" ht="22" customHeight="1" spans="1:12" x14ac:dyDescent="0.25">
      <c r="A1" s="22" t="s">
        <v>198</v>
      </c>
      <c r="B1" s="22"/>
      <c r="C1" s="22"/>
      <c r="D1" s="22"/>
      <c r="E1" s="22"/>
      <c r="F1" s="22"/>
      <c r="G1" s="22"/>
      <c r="H1" s="22"/>
      <c r="I1" s="22"/>
      <c r="J1" s="22"/>
      <c r="K1" s="22"/>
      <c r="L1" s="22"/>
    </row>
    <row r="2" ht="34" customHeight="1" spans="1:16" x14ac:dyDescent="0.25">
      <c r="A2" s="12" t="s">
        <v>49</v>
      </c>
      <c r="B2" s="12" t="s">
        <v>199</v>
      </c>
      <c r="C2" s="12" t="s">
        <v>200</v>
      </c>
      <c r="D2" s="12" t="s">
        <v>201</v>
      </c>
      <c r="E2" s="12" t="s">
        <v>202</v>
      </c>
      <c r="F2" s="12" t="s">
        <v>51</v>
      </c>
      <c r="G2" s="13" t="s">
        <v>203</v>
      </c>
      <c r="H2" s="13" t="s">
        <v>204</v>
      </c>
      <c r="I2" s="12" t="s">
        <v>205</v>
      </c>
      <c r="J2" s="12" t="s">
        <v>206</v>
      </c>
      <c r="K2" s="12" t="s">
        <v>207</v>
      </c>
      <c r="L2" s="12" t="s">
        <v>208</v>
      </c>
      <c r="M2" s="12" t="s">
        <v>209</v>
      </c>
      <c r="N2" s="12" t="s">
        <v>210</v>
      </c>
      <c r="O2" s="12" t="s">
        <v>211</v>
      </c>
      <c r="P2" s="12" t="s">
        <v>212</v>
      </c>
    </row>
    <row r="3" spans="1:16" x14ac:dyDescent="0.25">
      <c r="A3" s="7" t="s">
        <v>213</v>
      </c>
      <c r="B3" s="7">
        <v>1</v>
      </c>
      <c r="C3" s="7" t="s">
        <v>214</v>
      </c>
      <c r="D3" s="7">
        <v>1</v>
      </c>
      <c r="E3" s="7">
        <v>3853</v>
      </c>
      <c r="F3" s="15" t="s">
        <v>66</v>
      </c>
      <c r="G3" s="17" t="s">
        <v>73</v>
      </c>
      <c r="H3" s="17" t="s">
        <v>73</v>
      </c>
      <c r="I3" s="7">
        <f>IF(OR(G3="",M3=""),"",IF(UPPER(SUBSTITUTE(SUBSTITUTE(SUBSTITUTE(SUBSTITUTE(G3," ",""),"-",""),".",""),"/",""))=UPPER(SUBSTITUTE(SUBSTITUTE(SUBSTITUTE(SUBSTITUTE(M3," ",""),"-",""),".",""),"/","")),"Yes","No"))</f>
      </c>
      <c r="J3" s="7">
        <f>IF(OR(H3="",N3=""),"",IF(ABS(H3-N3)&lt;=0.01,"Yes","No"))</f>
      </c>
      <c r="K3" s="7">
        <f>IF(OR(G3="",O3=""),"",IF(UPPER(SUBSTITUTE(SUBSTITUTE(SUBSTITUTE(SUBSTITUTE(G3," ",""),"-",""),".",""),"/",""))=UPPER(SUBSTITUTE(SUBSTITUTE(SUBSTITUTE(SUBSTITUTE(O3," ",""),"-",""),".",""),"/","")),"Yes","No"))</f>
      </c>
      <c r="L3" s="7">
        <f>IF(OR(H3="",P3=""),"",IF(ABS(H3-P3)&lt;=0.01,"Yes","No"))</f>
      </c>
      <c r="M3" s="7" t="s">
        <v>215</v>
      </c>
      <c r="N3" s="7">
        <v>3853</v>
      </c>
      <c r="O3" s="7" t="s">
        <v>215</v>
      </c>
      <c r="P3" s="7">
        <v>3853</v>
      </c>
    </row>
    <row r="4" spans="1:16" x14ac:dyDescent="0.25">
      <c r="A4" s="7" t="s">
        <v>213</v>
      </c>
      <c r="B4" s="7">
        <v>2</v>
      </c>
      <c r="C4" s="7" t="s">
        <v>216</v>
      </c>
      <c r="D4" s="7">
        <v>1</v>
      </c>
      <c r="E4" s="7">
        <v>2825</v>
      </c>
      <c r="F4" s="15" t="s">
        <v>66</v>
      </c>
      <c r="G4" s="17" t="s">
        <v>73</v>
      </c>
      <c r="H4" s="17" t="s">
        <v>73</v>
      </c>
      <c r="I4" s="7">
        <f>IF(OR(G4="",M4=""),"",IF(UPPER(SUBSTITUTE(SUBSTITUTE(SUBSTITUTE(SUBSTITUTE(G4," ",""),"-",""),".",""),"/",""))=UPPER(SUBSTITUTE(SUBSTITUTE(SUBSTITUTE(SUBSTITUTE(M4," ",""),"-",""),".",""),"/","")),"Yes","No"))</f>
      </c>
      <c r="J4" s="7">
        <f>IF(OR(H4="",N4=""),"",IF(ABS(H4-N4)&lt;=0.01,"Yes","No"))</f>
      </c>
      <c r="K4" s="7">
        <f>IF(OR(G4="",O4=""),"",IF(UPPER(SUBSTITUTE(SUBSTITUTE(SUBSTITUTE(SUBSTITUTE(G4," ",""),"-",""),".",""),"/",""))=UPPER(SUBSTITUTE(SUBSTITUTE(SUBSTITUTE(SUBSTITUTE(O4," ",""),"-",""),".",""),"/","")),"Yes","No"))</f>
      </c>
      <c r="L4" s="7">
        <f>IF(OR(H4="",P4=""),"",IF(ABS(H4-P4)&lt;=0.01,"Yes","No"))</f>
      </c>
      <c r="M4" s="7" t="s">
        <v>217</v>
      </c>
      <c r="N4" s="7">
        <v>2825</v>
      </c>
      <c r="O4" s="7" t="s">
        <v>217</v>
      </c>
      <c r="P4" s="7">
        <v>2825</v>
      </c>
    </row>
    <row r="5" spans="1:16" x14ac:dyDescent="0.25">
      <c r="A5" s="7" t="s">
        <v>213</v>
      </c>
      <c r="B5" s="7">
        <v>3</v>
      </c>
      <c r="C5" s="7" t="s">
        <v>218</v>
      </c>
      <c r="D5" s="7">
        <v>1</v>
      </c>
      <c r="E5" s="7">
        <v>4670</v>
      </c>
      <c r="F5" s="15" t="s">
        <v>66</v>
      </c>
      <c r="G5" s="17" t="s">
        <v>73</v>
      </c>
      <c r="H5" s="17" t="s">
        <v>73</v>
      </c>
      <c r="I5" s="7">
        <f>IF(OR(G5="",M5=""),"",IF(UPPER(SUBSTITUTE(SUBSTITUTE(SUBSTITUTE(SUBSTITUTE(G5," ",""),"-",""),".",""),"/",""))=UPPER(SUBSTITUTE(SUBSTITUTE(SUBSTITUTE(SUBSTITUTE(M5," ",""),"-",""),".",""),"/","")),"Yes","No"))</f>
      </c>
      <c r="J5" s="7">
        <f>IF(OR(H5="",N5=""),"",IF(ABS(H5-N5)&lt;=0.01,"Yes","No"))</f>
      </c>
      <c r="K5" s="7">
        <f>IF(OR(G5="",O5=""),"",IF(UPPER(SUBSTITUTE(SUBSTITUTE(SUBSTITUTE(SUBSTITUTE(G5," ",""),"-",""),".",""),"/",""))=UPPER(SUBSTITUTE(SUBSTITUTE(SUBSTITUTE(SUBSTITUTE(O5," ",""),"-",""),".",""),"/","")),"Yes","No"))</f>
      </c>
      <c r="L5" s="7">
        <f>IF(OR(H5="",P5=""),"",IF(ABS(H5-P5)&lt;=0.01,"Yes","No"))</f>
      </c>
      <c r="M5" s="7" t="s">
        <v>219</v>
      </c>
      <c r="N5" s="7">
        <v>4670</v>
      </c>
      <c r="O5" s="7" t="s">
        <v>219</v>
      </c>
      <c r="P5" s="7">
        <v>4670</v>
      </c>
    </row>
    <row r="6" spans="1:16" x14ac:dyDescent="0.25">
      <c r="A6" s="7" t="s">
        <v>213</v>
      </c>
      <c r="B6" s="7">
        <v>4</v>
      </c>
      <c r="C6" s="7" t="s">
        <v>220</v>
      </c>
      <c r="D6" s="7">
        <v>1</v>
      </c>
      <c r="E6" s="7">
        <v>1358</v>
      </c>
      <c r="F6" s="15" t="s">
        <v>66</v>
      </c>
      <c r="G6" s="17" t="s">
        <v>73</v>
      </c>
      <c r="H6" s="17" t="s">
        <v>73</v>
      </c>
      <c r="I6" s="7">
        <f>IF(OR(G6="",M6=""),"",IF(UPPER(SUBSTITUTE(SUBSTITUTE(SUBSTITUTE(SUBSTITUTE(G6," ",""),"-",""),".",""),"/",""))=UPPER(SUBSTITUTE(SUBSTITUTE(SUBSTITUTE(SUBSTITUTE(M6," ",""),"-",""),".",""),"/","")),"Yes","No"))</f>
      </c>
      <c r="J6" s="7">
        <f>IF(OR(H6="",N6=""),"",IF(ABS(H6-N6)&lt;=0.01,"Yes","No"))</f>
      </c>
      <c r="K6" s="7">
        <f>IF(OR(G6="",O6=""),"",IF(UPPER(SUBSTITUTE(SUBSTITUTE(SUBSTITUTE(SUBSTITUTE(G6," ",""),"-",""),".",""),"/",""))=UPPER(SUBSTITUTE(SUBSTITUTE(SUBSTITUTE(SUBSTITUTE(O6," ",""),"-",""),".",""),"/","")),"Yes","No"))</f>
      </c>
      <c r="L6" s="7">
        <f>IF(OR(H6="",P6=""),"",IF(ABS(H6-P6)&lt;=0.01,"Yes","No"))</f>
      </c>
      <c r="M6" s="7" t="s">
        <v>221</v>
      </c>
      <c r="N6" s="7">
        <v>1358</v>
      </c>
      <c r="O6" s="7" t="s">
        <v>221</v>
      </c>
      <c r="P6" s="7">
        <v>1358</v>
      </c>
    </row>
    <row r="7" spans="1:16" x14ac:dyDescent="0.25">
      <c r="A7" s="7" t="s">
        <v>213</v>
      </c>
      <c r="B7" s="7">
        <v>5</v>
      </c>
      <c r="C7" s="7" t="s">
        <v>222</v>
      </c>
      <c r="D7" s="7">
        <v>1</v>
      </c>
      <c r="E7" s="7">
        <v>224</v>
      </c>
      <c r="F7" s="15" t="s">
        <v>66</v>
      </c>
      <c r="G7" s="17" t="s">
        <v>73</v>
      </c>
      <c r="H7" s="17" t="s">
        <v>73</v>
      </c>
      <c r="I7" s="7">
        <f>IF(OR(G7="",M7=""),"",IF(UPPER(SUBSTITUTE(SUBSTITUTE(SUBSTITUTE(SUBSTITUTE(G7," ",""),"-",""),".",""),"/",""))=UPPER(SUBSTITUTE(SUBSTITUTE(SUBSTITUTE(SUBSTITUTE(M7," ",""),"-",""),".",""),"/","")),"Yes","No"))</f>
      </c>
      <c r="J7" s="7">
        <f>IF(OR(H7="",N7=""),"",IF(ABS(H7-N7)&lt;=0.01,"Yes","No"))</f>
      </c>
      <c r="K7" s="7">
        <f>IF(OR(G7="",O7=""),"",IF(UPPER(SUBSTITUTE(SUBSTITUTE(SUBSTITUTE(SUBSTITUTE(G7," ",""),"-",""),".",""),"/",""))=UPPER(SUBSTITUTE(SUBSTITUTE(SUBSTITUTE(SUBSTITUTE(O7," ",""),"-",""),".",""),"/","")),"Yes","No"))</f>
      </c>
      <c r="L7" s="7">
        <f>IF(OR(H7="",P7=""),"",IF(ABS(H7-P7)&lt;=0.01,"Yes","No"))</f>
      </c>
      <c r="M7" s="7" t="s">
        <v>223</v>
      </c>
      <c r="N7" s="7">
        <v>224</v>
      </c>
      <c r="O7" s="7" t="s">
        <v>223</v>
      </c>
      <c r="P7" s="7">
        <v>224</v>
      </c>
    </row>
    <row r="8" spans="1:16" x14ac:dyDescent="0.25">
      <c r="A8" s="7" t="s">
        <v>213</v>
      </c>
      <c r="B8" s="7">
        <v>6</v>
      </c>
      <c r="C8" s="7" t="s">
        <v>224</v>
      </c>
      <c r="D8" s="7">
        <v>4</v>
      </c>
      <c r="E8" s="7">
        <v>514</v>
      </c>
      <c r="F8" s="15" t="s">
        <v>66</v>
      </c>
      <c r="G8" s="17" t="s">
        <v>73</v>
      </c>
      <c r="H8" s="17" t="s">
        <v>73</v>
      </c>
      <c r="I8" s="7">
        <f>IF(OR(G8="",M8=""),"",IF(UPPER(SUBSTITUTE(SUBSTITUTE(SUBSTITUTE(SUBSTITUTE(G8," ",""),"-",""),".",""),"/",""))=UPPER(SUBSTITUTE(SUBSTITUTE(SUBSTITUTE(SUBSTITUTE(M8," ",""),"-",""),".",""),"/","")),"Yes","No"))</f>
      </c>
      <c r="J8" s="7">
        <f>IF(OR(H8="",N8=""),"",IF(ABS(H8-N8)&lt;=0.01,"Yes","No"))</f>
      </c>
      <c r="K8" s="7">
        <f>IF(OR(G8="",O8=""),"",IF(UPPER(SUBSTITUTE(SUBSTITUTE(SUBSTITUTE(SUBSTITUTE(G8," ",""),"-",""),".",""),"/",""))=UPPER(SUBSTITUTE(SUBSTITUTE(SUBSTITUTE(SUBSTITUTE(O8," ",""),"-",""),".",""),"/","")),"Yes","No"))</f>
      </c>
      <c r="L8" s="7">
        <f>IF(OR(H8="",P8=""),"",IF(ABS(H8-P8)&lt;=0.01,"Yes","No"))</f>
      </c>
      <c r="M8" s="7" t="s">
        <v>225</v>
      </c>
      <c r="N8" s="7">
        <v>128.5</v>
      </c>
      <c r="O8" s="7" t="s">
        <v>225</v>
      </c>
      <c r="P8" s="7">
        <v>128.5</v>
      </c>
    </row>
    <row r="9" spans="1:16" x14ac:dyDescent="0.25">
      <c r="A9" s="7" t="s">
        <v>213</v>
      </c>
      <c r="B9" s="7">
        <v>7</v>
      </c>
      <c r="C9" s="7" t="s">
        <v>216</v>
      </c>
      <c r="D9" s="7">
        <v>1</v>
      </c>
      <c r="E9" s="7">
        <v>3395</v>
      </c>
      <c r="F9" s="15" t="s">
        <v>66</v>
      </c>
      <c r="G9" s="17" t="s">
        <v>73</v>
      </c>
      <c r="H9" s="17" t="s">
        <v>73</v>
      </c>
      <c r="I9" s="7">
        <f>IF(OR(G9="",M9=""),"",IF(UPPER(SUBSTITUTE(SUBSTITUTE(SUBSTITUTE(SUBSTITUTE(G9," ",""),"-",""),".",""),"/",""))=UPPER(SUBSTITUTE(SUBSTITUTE(SUBSTITUTE(SUBSTITUTE(M9," ",""),"-",""),".",""),"/","")),"Yes","No"))</f>
      </c>
      <c r="J9" s="7">
        <f>IF(OR(H9="",N9=""),"",IF(ABS(H9-N9)&lt;=0.01,"Yes","No"))</f>
      </c>
      <c r="K9" s="7">
        <f>IF(OR(G9="",O9=""),"",IF(UPPER(SUBSTITUTE(SUBSTITUTE(SUBSTITUTE(SUBSTITUTE(G9," ",""),"-",""),".",""),"/",""))=UPPER(SUBSTITUTE(SUBSTITUTE(SUBSTITUTE(SUBSTITUTE(O9," ",""),"-",""),".",""),"/","")),"Yes","No"))</f>
      </c>
      <c r="L9" s="7">
        <f>IF(OR(H9="",P9=""),"",IF(ABS(H9-P9)&lt;=0.01,"Yes","No"))</f>
      </c>
      <c r="M9" s="7" t="s">
        <v>226</v>
      </c>
      <c r="N9" s="7">
        <v>3395</v>
      </c>
      <c r="O9" s="7" t="s">
        <v>226</v>
      </c>
      <c r="P9" s="7">
        <v>3395</v>
      </c>
    </row>
    <row r="10" spans="1:16" x14ac:dyDescent="0.25">
      <c r="A10" s="7" t="s">
        <v>213</v>
      </c>
      <c r="B10" s="7">
        <v>8</v>
      </c>
      <c r="C10" s="7" t="s">
        <v>227</v>
      </c>
      <c r="D10" s="7">
        <v>12</v>
      </c>
      <c r="E10" s="7">
        <v>36</v>
      </c>
      <c r="F10" s="15" t="s">
        <v>66</v>
      </c>
      <c r="G10" s="17" t="s">
        <v>73</v>
      </c>
      <c r="H10" s="17" t="s">
        <v>73</v>
      </c>
      <c r="I10" s="7">
        <f>IF(OR(G10="",M10=""),"",IF(UPPER(SUBSTITUTE(SUBSTITUTE(SUBSTITUTE(SUBSTITUTE(G10," ",""),"-",""),".",""),"/",""))=UPPER(SUBSTITUTE(SUBSTITUTE(SUBSTITUTE(SUBSTITUTE(M10," ",""),"-",""),".",""),"/","")),"Yes","No"))</f>
      </c>
      <c r="J10" s="7">
        <f>IF(OR(H10="",N10=""),"",IF(ABS(H10-N10)&lt;=0.01,"Yes","No"))</f>
      </c>
      <c r="K10" s="7">
        <f>IF(OR(G10="",O10=""),"",IF(UPPER(SUBSTITUTE(SUBSTITUTE(SUBSTITUTE(SUBSTITUTE(G10," ",""),"-",""),".",""),"/",""))=UPPER(SUBSTITUTE(SUBSTITUTE(SUBSTITUTE(SUBSTITUTE(O10," ",""),"-",""),".",""),"/","")),"Yes","No"))</f>
      </c>
      <c r="L10" s="7">
        <f>IF(OR(H10="",P10=""),"",IF(ABS(H10-P10)&lt;=0.01,"Yes","No"))</f>
      </c>
      <c r="M10" s="7" t="s">
        <v>228</v>
      </c>
      <c r="N10" s="7">
        <v>3</v>
      </c>
      <c r="O10" s="7" t="s">
        <v>228</v>
      </c>
      <c r="P10" s="7">
        <v>3</v>
      </c>
    </row>
    <row r="11" spans="1:16" x14ac:dyDescent="0.25">
      <c r="A11" s="7" t="s">
        <v>213</v>
      </c>
      <c r="B11" s="7">
        <v>9</v>
      </c>
      <c r="C11" s="7" t="s">
        <v>229</v>
      </c>
      <c r="D11" s="7">
        <v>1</v>
      </c>
      <c r="E11" s="7">
        <v>1240</v>
      </c>
      <c r="F11" s="15" t="s">
        <v>66</v>
      </c>
      <c r="G11" s="17" t="s">
        <v>73</v>
      </c>
      <c r="H11" s="17" t="s">
        <v>73</v>
      </c>
      <c r="I11" s="7">
        <f>IF(OR(G11="",M11=""),"",IF(UPPER(SUBSTITUTE(SUBSTITUTE(SUBSTITUTE(SUBSTITUTE(G11," ",""),"-",""),".",""),"/",""))=UPPER(SUBSTITUTE(SUBSTITUTE(SUBSTITUTE(SUBSTITUTE(M11," ",""),"-",""),".",""),"/","")),"Yes","No"))</f>
      </c>
      <c r="J11" s="7">
        <f>IF(OR(H11="",N11=""),"",IF(ABS(H11-N11)&lt;=0.01,"Yes","No"))</f>
      </c>
      <c r="K11" s="7">
        <f>IF(OR(G11="",O11=""),"",IF(UPPER(SUBSTITUTE(SUBSTITUTE(SUBSTITUTE(SUBSTITUTE(G11," ",""),"-",""),".",""),"/",""))=UPPER(SUBSTITUTE(SUBSTITUTE(SUBSTITUTE(SUBSTITUTE(O11," ",""),"-",""),".",""),"/","")),"Yes","No"))</f>
      </c>
      <c r="L11" s="7">
        <f>IF(OR(H11="",P11=""),"",IF(ABS(H11-P11)&lt;=0.01,"Yes","No"))</f>
      </c>
      <c r="M11" s="7" t="s">
        <v>230</v>
      </c>
      <c r="N11" s="7">
        <v>1240</v>
      </c>
      <c r="O11" s="7" t="s">
        <v>230</v>
      </c>
      <c r="P11" s="7">
        <v>1240</v>
      </c>
    </row>
    <row r="12" spans="1:16" x14ac:dyDescent="0.25">
      <c r="A12" s="7" t="s">
        <v>213</v>
      </c>
      <c r="B12" s="7">
        <v>10</v>
      </c>
      <c r="C12" s="7" t="s">
        <v>227</v>
      </c>
      <c r="D12" s="7">
        <v>4</v>
      </c>
      <c r="E12" s="7">
        <v>5.28</v>
      </c>
      <c r="F12" s="15" t="s">
        <v>66</v>
      </c>
      <c r="G12" s="17" t="s">
        <v>73</v>
      </c>
      <c r="H12" s="17" t="s">
        <v>73</v>
      </c>
      <c r="I12" s="7">
        <f>IF(OR(G12="",M12=""),"",IF(UPPER(SUBSTITUTE(SUBSTITUTE(SUBSTITUTE(SUBSTITUTE(G12," ",""),"-",""),".",""),"/",""))=UPPER(SUBSTITUTE(SUBSTITUTE(SUBSTITUTE(SUBSTITUTE(M12," ",""),"-",""),".",""),"/","")),"Yes","No"))</f>
      </c>
      <c r="J12" s="7">
        <f>IF(OR(H12="",N12=""),"",IF(ABS(H12-N12)&lt;=0.01,"Yes","No"))</f>
      </c>
      <c r="K12" s="7">
        <f>IF(OR(G12="",O12=""),"",IF(UPPER(SUBSTITUTE(SUBSTITUTE(SUBSTITUTE(SUBSTITUTE(G12," ",""),"-",""),".",""),"/",""))=UPPER(SUBSTITUTE(SUBSTITUTE(SUBSTITUTE(SUBSTITUTE(O12," ",""),"-",""),".",""),"/","")),"Yes","No"))</f>
      </c>
      <c r="L12" s="7">
        <f>IF(OR(H12="",P12=""),"",IF(ABS(H12-P12)&lt;=0.01,"Yes","No"))</f>
      </c>
      <c r="M12" s="7" t="s">
        <v>231</v>
      </c>
      <c r="N12" s="7">
        <v>1.32</v>
      </c>
      <c r="O12" s="7" t="s">
        <v>231</v>
      </c>
      <c r="P12" s="7">
        <v>1.32</v>
      </c>
    </row>
    <row r="13" spans="1:16" x14ac:dyDescent="0.25">
      <c r="A13" s="7" t="s">
        <v>213</v>
      </c>
      <c r="B13" s="7">
        <v>11</v>
      </c>
      <c r="C13" s="7" t="s">
        <v>232</v>
      </c>
      <c r="D13" s="7">
        <v>1</v>
      </c>
      <c r="E13" s="7">
        <v>115</v>
      </c>
      <c r="F13" s="15" t="s">
        <v>66</v>
      </c>
      <c r="G13" s="17" t="s">
        <v>73</v>
      </c>
      <c r="H13" s="17" t="s">
        <v>73</v>
      </c>
      <c r="I13" s="7">
        <f>IF(OR(G13="",M13=""),"",IF(UPPER(SUBSTITUTE(SUBSTITUTE(SUBSTITUTE(SUBSTITUTE(G13," ",""),"-",""),".",""),"/",""))=UPPER(SUBSTITUTE(SUBSTITUTE(SUBSTITUTE(SUBSTITUTE(M13," ",""),"-",""),".",""),"/","")),"Yes","No"))</f>
      </c>
      <c r="J13" s="7">
        <f>IF(OR(H13="",N13=""),"",IF(ABS(H13-N13)&lt;=0.01,"Yes","No"))</f>
      </c>
      <c r="K13" s="7">
        <f>IF(OR(G13="",O13=""),"",IF(UPPER(SUBSTITUTE(SUBSTITUTE(SUBSTITUTE(SUBSTITUTE(G13," ",""),"-",""),".",""),"/",""))=UPPER(SUBSTITUTE(SUBSTITUTE(SUBSTITUTE(SUBSTITUTE(O13," ",""),"-",""),".",""),"/","")),"Yes","No"))</f>
      </c>
      <c r="L13" s="7">
        <f>IF(OR(H13="",P13=""),"",IF(ABS(H13-P13)&lt;=0.01,"Yes","No"))</f>
      </c>
      <c r="M13" s="7" t="s">
        <v>233</v>
      </c>
      <c r="N13" s="7">
        <v>115</v>
      </c>
      <c r="O13" s="7" t="s">
        <v>233</v>
      </c>
      <c r="P13" s="7">
        <v>115</v>
      </c>
    </row>
    <row r="14" spans="1:16" x14ac:dyDescent="0.25">
      <c r="A14" s="7" t="s">
        <v>213</v>
      </c>
      <c r="B14" s="7">
        <v>12</v>
      </c>
      <c r="C14" s="7" t="s">
        <v>234</v>
      </c>
      <c r="D14" s="7">
        <v>4</v>
      </c>
      <c r="E14" s="7">
        <v>18.4</v>
      </c>
      <c r="F14" s="15" t="s">
        <v>66</v>
      </c>
      <c r="G14" s="17" t="s">
        <v>73</v>
      </c>
      <c r="H14" s="17" t="s">
        <v>73</v>
      </c>
      <c r="I14" s="7">
        <f>IF(OR(G14="",M14=""),"",IF(UPPER(SUBSTITUTE(SUBSTITUTE(SUBSTITUTE(SUBSTITUTE(G14," ",""),"-",""),".",""),"/",""))=UPPER(SUBSTITUTE(SUBSTITUTE(SUBSTITUTE(SUBSTITUTE(M14," ",""),"-",""),".",""),"/","")),"Yes","No"))</f>
      </c>
      <c r="J14" s="7">
        <f>IF(OR(H14="",N14=""),"",IF(ABS(H14-N14)&lt;=0.01,"Yes","No"))</f>
      </c>
      <c r="K14" s="7">
        <f>IF(OR(G14="",O14=""),"",IF(UPPER(SUBSTITUTE(SUBSTITUTE(SUBSTITUTE(SUBSTITUTE(G14," ",""),"-",""),".",""),"/",""))=UPPER(SUBSTITUTE(SUBSTITUTE(SUBSTITUTE(SUBSTITUTE(O14," ",""),"-",""),".",""),"/","")),"Yes","No"))</f>
      </c>
      <c r="L14" s="7">
        <f>IF(OR(H14="",P14=""),"",IF(ABS(H14-P14)&lt;=0.01,"Yes","No"))</f>
      </c>
      <c r="M14" s="7" t="s">
        <v>235</v>
      </c>
      <c r="N14" s="7">
        <v>4.6</v>
      </c>
      <c r="O14" s="7" t="s">
        <v>235</v>
      </c>
      <c r="P14" s="7">
        <v>4.6</v>
      </c>
    </row>
    <row r="15" spans="1:16" x14ac:dyDescent="0.25">
      <c r="A15" s="7" t="s">
        <v>213</v>
      </c>
      <c r="B15" s="7">
        <v>13</v>
      </c>
      <c r="C15" s="7" t="s">
        <v>236</v>
      </c>
      <c r="D15" s="7">
        <v>1</v>
      </c>
      <c r="E15" s="7">
        <v>3808</v>
      </c>
      <c r="F15" s="15" t="s">
        <v>66</v>
      </c>
      <c r="G15" s="17" t="s">
        <v>73</v>
      </c>
      <c r="H15" s="17" t="s">
        <v>73</v>
      </c>
      <c r="I15" s="7">
        <f>IF(OR(G15="",M15=""),"",IF(UPPER(SUBSTITUTE(SUBSTITUTE(SUBSTITUTE(SUBSTITUTE(G15," ",""),"-",""),".",""),"/",""))=UPPER(SUBSTITUTE(SUBSTITUTE(SUBSTITUTE(SUBSTITUTE(M15," ",""),"-",""),".",""),"/","")),"Yes","No"))</f>
      </c>
      <c r="J15" s="7">
        <f>IF(OR(H15="",N15=""),"",IF(ABS(H15-N15)&lt;=0.01,"Yes","No"))</f>
      </c>
      <c r="K15" s="7">
        <f>IF(OR(G15="",O15=""),"",IF(UPPER(SUBSTITUTE(SUBSTITUTE(SUBSTITUTE(SUBSTITUTE(G15," ",""),"-",""),".",""),"/",""))=UPPER(SUBSTITUTE(SUBSTITUTE(SUBSTITUTE(SUBSTITUTE(O15," ",""),"-",""),".",""),"/","")),"Yes","No"))</f>
      </c>
      <c r="L15" s="7">
        <f>IF(OR(H15="",P15=""),"",IF(ABS(H15-P15)&lt;=0.01,"Yes","No"))</f>
      </c>
      <c r="M15" s="7" t="s">
        <v>237</v>
      </c>
      <c r="N15" s="7">
        <v>3808</v>
      </c>
      <c r="O15" s="7" t="s">
        <v>237</v>
      </c>
      <c r="P15" s="7">
        <v>3808</v>
      </c>
    </row>
    <row r="16" spans="1:16" x14ac:dyDescent="0.25">
      <c r="A16" s="7" t="s">
        <v>238</v>
      </c>
      <c r="B16" s="7">
        <v>1</v>
      </c>
      <c r="C16" s="7" t="s">
        <v>239</v>
      </c>
      <c r="D16" s="7">
        <v>1</v>
      </c>
      <c r="E16" s="7">
        <v>230</v>
      </c>
      <c r="F16" s="15" t="s">
        <v>66</v>
      </c>
      <c r="G16" s="17" t="s">
        <v>73</v>
      </c>
      <c r="H16" s="17" t="s">
        <v>73</v>
      </c>
      <c r="I16" s="7">
        <f>IF(OR(G16="",M16=""),"",IF(UPPER(SUBSTITUTE(SUBSTITUTE(SUBSTITUTE(SUBSTITUTE(G16," ",""),"-",""),".",""),"/",""))=UPPER(SUBSTITUTE(SUBSTITUTE(SUBSTITUTE(SUBSTITUTE(M16," ",""),"-",""),".",""),"/","")),"Yes","No"))</f>
      </c>
      <c r="J16" s="7">
        <f>IF(OR(H16="",N16=""),"",IF(ABS(H16-N16)&lt;=0.01,"Yes","No"))</f>
      </c>
      <c r="K16" s="7">
        <f>IF(OR(G16="",O16=""),"",IF(UPPER(SUBSTITUTE(SUBSTITUTE(SUBSTITUTE(SUBSTITUTE(G16," ",""),"-",""),".",""),"/",""))=UPPER(SUBSTITUTE(SUBSTITUTE(SUBSTITUTE(SUBSTITUTE(O16," ",""),"-",""),".",""),"/","")),"Yes","No"))</f>
      </c>
      <c r="L16" s="7">
        <f>IF(OR(H16="",P16=""),"",IF(ABS(H16-P16)&lt;=0.01,"Yes","No"))</f>
      </c>
      <c r="M16" s="7" t="s">
        <v>240</v>
      </c>
      <c r="N16" s="7">
        <v>230</v>
      </c>
      <c r="O16" s="7" t="s">
        <v>240</v>
      </c>
      <c r="P16" s="7">
        <v>230</v>
      </c>
    </row>
    <row r="17" spans="1:16" x14ac:dyDescent="0.25">
      <c r="A17" s="7" t="s">
        <v>238</v>
      </c>
      <c r="B17" s="7">
        <v>2</v>
      </c>
      <c r="C17" s="7" t="s">
        <v>241</v>
      </c>
      <c r="D17" s="7">
        <v>1</v>
      </c>
      <c r="E17" s="7">
        <v>385</v>
      </c>
      <c r="F17" s="15" t="s">
        <v>66</v>
      </c>
      <c r="G17" s="17" t="s">
        <v>73</v>
      </c>
      <c r="H17" s="17" t="s">
        <v>73</v>
      </c>
      <c r="I17" s="7">
        <f>IF(OR(G17="",M17=""),"",IF(UPPER(SUBSTITUTE(SUBSTITUTE(SUBSTITUTE(SUBSTITUTE(G17," ",""),"-",""),".",""),"/",""))=UPPER(SUBSTITUTE(SUBSTITUTE(SUBSTITUTE(SUBSTITUTE(M17," ",""),"-",""),".",""),"/","")),"Yes","No"))</f>
      </c>
      <c r="J17" s="7">
        <f>IF(OR(H17="",N17=""),"",IF(ABS(H17-N17)&lt;=0.01,"Yes","No"))</f>
      </c>
      <c r="K17" s="7">
        <f>IF(OR(G17="",O17=""),"",IF(UPPER(SUBSTITUTE(SUBSTITUTE(SUBSTITUTE(SUBSTITUTE(G17," ",""),"-",""),".",""),"/",""))=UPPER(SUBSTITUTE(SUBSTITUTE(SUBSTITUTE(SUBSTITUTE(O17," ",""),"-",""),".",""),"/","")),"Yes","No"))</f>
      </c>
      <c r="L17" s="7">
        <f>IF(OR(H17="",P17=""),"",IF(ABS(H17-P17)&lt;=0.01,"Yes","No"))</f>
      </c>
      <c r="M17" s="7" t="s">
        <v>242</v>
      </c>
      <c r="N17" s="7">
        <v>385</v>
      </c>
      <c r="O17" s="7" t="s">
        <v>242</v>
      </c>
      <c r="P17" s="7">
        <v>385</v>
      </c>
    </row>
    <row r="18" spans="1:16" x14ac:dyDescent="0.25">
      <c r="A18" s="7" t="s">
        <v>238</v>
      </c>
      <c r="B18" s="7">
        <v>3</v>
      </c>
      <c r="C18" s="7" t="s">
        <v>243</v>
      </c>
      <c r="D18" s="7">
        <v>1</v>
      </c>
      <c r="E18" s="7">
        <v>85</v>
      </c>
      <c r="F18" s="15" t="s">
        <v>66</v>
      </c>
      <c r="G18" s="17" t="s">
        <v>73</v>
      </c>
      <c r="H18" s="17" t="s">
        <v>73</v>
      </c>
      <c r="I18" s="7">
        <f>IF(OR(G18="",M18=""),"",IF(UPPER(SUBSTITUTE(SUBSTITUTE(SUBSTITUTE(SUBSTITUTE(G18," ",""),"-",""),".",""),"/",""))=UPPER(SUBSTITUTE(SUBSTITUTE(SUBSTITUTE(SUBSTITUTE(M18," ",""),"-",""),".",""),"/","")),"Yes","No"))</f>
      </c>
      <c r="J18" s="7">
        <f>IF(OR(H18="",N18=""),"",IF(ABS(H18-N18)&lt;=0.01,"Yes","No"))</f>
      </c>
      <c r="K18" s="7">
        <f>IF(OR(G18="",O18=""),"",IF(UPPER(SUBSTITUTE(SUBSTITUTE(SUBSTITUTE(SUBSTITUTE(G18," ",""),"-",""),".",""),"/",""))=UPPER(SUBSTITUTE(SUBSTITUTE(SUBSTITUTE(SUBSTITUTE(O18," ",""),"-",""),".",""),"/","")),"Yes","No"))</f>
      </c>
      <c r="L18" s="7">
        <f>IF(OR(H18="",P18=""),"",IF(ABS(H18-P18)&lt;=0.01,"Yes","No"))</f>
      </c>
      <c r="M18" s="7" t="s">
        <v>244</v>
      </c>
      <c r="N18" s="7">
        <v>85</v>
      </c>
      <c r="O18" s="7" t="s">
        <v>244</v>
      </c>
      <c r="P18" s="7">
        <v>85</v>
      </c>
    </row>
    <row r="19" spans="1:16" x14ac:dyDescent="0.25">
      <c r="A19" s="7" t="s">
        <v>238</v>
      </c>
      <c r="B19" s="7">
        <v>4</v>
      </c>
      <c r="C19" s="7" t="s">
        <v>245</v>
      </c>
      <c r="D19" s="7">
        <v>1</v>
      </c>
      <c r="E19" s="7">
        <v>85</v>
      </c>
      <c r="F19" s="15" t="s">
        <v>66</v>
      </c>
      <c r="G19" s="17" t="s">
        <v>73</v>
      </c>
      <c r="H19" s="17" t="s">
        <v>73</v>
      </c>
      <c r="I19" s="7">
        <f>IF(OR(G19="",M19=""),"",IF(UPPER(SUBSTITUTE(SUBSTITUTE(SUBSTITUTE(SUBSTITUTE(G19," ",""),"-",""),".",""),"/",""))=UPPER(SUBSTITUTE(SUBSTITUTE(SUBSTITUTE(SUBSTITUTE(M19," ",""),"-",""),".",""),"/","")),"Yes","No"))</f>
      </c>
      <c r="J19" s="7">
        <f>IF(OR(H19="",N19=""),"",IF(ABS(H19-N19)&lt;=0.01,"Yes","No"))</f>
      </c>
      <c r="K19" s="7">
        <f>IF(OR(G19="",O19=""),"",IF(UPPER(SUBSTITUTE(SUBSTITUTE(SUBSTITUTE(SUBSTITUTE(G19," ",""),"-",""),".",""),"/",""))=UPPER(SUBSTITUTE(SUBSTITUTE(SUBSTITUTE(SUBSTITUTE(O19," ",""),"-",""),".",""),"/","")),"Yes","No"))</f>
      </c>
      <c r="L19" s="7">
        <f>IF(OR(H19="",P19=""),"",IF(ABS(H19-P19)&lt;=0.01,"Yes","No"))</f>
      </c>
      <c r="M19" s="7" t="s">
        <v>246</v>
      </c>
      <c r="N19" s="7">
        <v>85</v>
      </c>
      <c r="O19" s="7" t="s">
        <v>246</v>
      </c>
      <c r="P19" s="7">
        <v>85</v>
      </c>
    </row>
    <row r="20" spans="1:16" x14ac:dyDescent="0.25">
      <c r="A20" s="7" t="s">
        <v>238</v>
      </c>
      <c r="B20" s="7">
        <v>5</v>
      </c>
      <c r="C20" s="7" t="s">
        <v>247</v>
      </c>
      <c r="D20" s="7">
        <v>1</v>
      </c>
      <c r="E20" s="7">
        <v>280</v>
      </c>
      <c r="F20" s="15" t="s">
        <v>66</v>
      </c>
      <c r="G20" s="17" t="s">
        <v>73</v>
      </c>
      <c r="H20" s="17" t="s">
        <v>73</v>
      </c>
      <c r="I20" s="7">
        <f>IF(OR(G20="",M20=""),"",IF(UPPER(SUBSTITUTE(SUBSTITUTE(SUBSTITUTE(SUBSTITUTE(G20," ",""),"-",""),".",""),"/",""))=UPPER(SUBSTITUTE(SUBSTITUTE(SUBSTITUTE(SUBSTITUTE(M20," ",""),"-",""),".",""),"/","")),"Yes","No"))</f>
      </c>
      <c r="J20" s="7">
        <f>IF(OR(H20="",N20=""),"",IF(ABS(H20-N20)&lt;=0.01,"Yes","No"))</f>
      </c>
      <c r="K20" s="7">
        <f>IF(OR(G20="",O20=""),"",IF(UPPER(SUBSTITUTE(SUBSTITUTE(SUBSTITUTE(SUBSTITUTE(G20," ",""),"-",""),".",""),"/",""))=UPPER(SUBSTITUTE(SUBSTITUTE(SUBSTITUTE(SUBSTITUTE(O20," ",""),"-",""),".",""),"/","")),"Yes","No"))</f>
      </c>
      <c r="L20" s="7">
        <f>IF(OR(H20="",P20=""),"",IF(ABS(H20-P20)&lt;=0.01,"Yes","No"))</f>
      </c>
      <c r="M20" s="7" t="s">
        <v>248</v>
      </c>
      <c r="N20" s="7">
        <v>280</v>
      </c>
      <c r="O20" s="7" t="s">
        <v>248</v>
      </c>
      <c r="P20" s="7">
        <v>280</v>
      </c>
    </row>
    <row r="21" spans="1:16" x14ac:dyDescent="0.25">
      <c r="A21" s="7" t="s">
        <v>238</v>
      </c>
      <c r="B21" s="7">
        <v>6</v>
      </c>
      <c r="C21" s="7" t="s">
        <v>249</v>
      </c>
      <c r="D21" s="7">
        <v>1</v>
      </c>
      <c r="E21" s="7">
        <v>95</v>
      </c>
      <c r="F21" s="15" t="s">
        <v>66</v>
      </c>
      <c r="G21" s="17" t="s">
        <v>73</v>
      </c>
      <c r="H21" s="17" t="s">
        <v>73</v>
      </c>
      <c r="I21" s="7">
        <f>IF(OR(G21="",M21=""),"",IF(UPPER(SUBSTITUTE(SUBSTITUTE(SUBSTITUTE(SUBSTITUTE(G21," ",""),"-",""),".",""),"/",""))=UPPER(SUBSTITUTE(SUBSTITUTE(SUBSTITUTE(SUBSTITUTE(M21," ",""),"-",""),".",""),"/","")),"Yes","No"))</f>
      </c>
      <c r="J21" s="7">
        <f>IF(OR(H21="",N21=""),"",IF(ABS(H21-N21)&lt;=0.01,"Yes","No"))</f>
      </c>
      <c r="K21" s="7">
        <f>IF(OR(G21="",O21=""),"",IF(UPPER(SUBSTITUTE(SUBSTITUTE(SUBSTITUTE(SUBSTITUTE(G21," ",""),"-",""),".",""),"/",""))=UPPER(SUBSTITUTE(SUBSTITUTE(SUBSTITUTE(SUBSTITUTE(O21," ",""),"-",""),".",""),"/","")),"Yes","No"))</f>
      </c>
      <c r="L21" s="7">
        <f>IF(OR(H21="",P21=""),"",IF(ABS(H21-P21)&lt;=0.01,"Yes","No"))</f>
      </c>
      <c r="M21" s="7" t="s">
        <v>250</v>
      </c>
      <c r="N21" s="7">
        <v>95</v>
      </c>
      <c r="O21" s="7" t="s">
        <v>250</v>
      </c>
      <c r="P21" s="7">
        <v>95</v>
      </c>
    </row>
    <row r="22" spans="1:16" x14ac:dyDescent="0.25">
      <c r="A22" s="7" t="s">
        <v>238</v>
      </c>
      <c r="B22" s="7">
        <v>7</v>
      </c>
      <c r="C22" s="7" t="s">
        <v>251</v>
      </c>
      <c r="D22" s="7">
        <v>1</v>
      </c>
      <c r="E22" s="7">
        <v>195</v>
      </c>
      <c r="F22" s="15" t="s">
        <v>66</v>
      </c>
      <c r="G22" s="17" t="s">
        <v>73</v>
      </c>
      <c r="H22" s="17" t="s">
        <v>73</v>
      </c>
      <c r="I22" s="7">
        <f>IF(OR(G22="",M22=""),"",IF(UPPER(SUBSTITUTE(SUBSTITUTE(SUBSTITUTE(SUBSTITUTE(G22," ",""),"-",""),".",""),"/",""))=UPPER(SUBSTITUTE(SUBSTITUTE(SUBSTITUTE(SUBSTITUTE(M22," ",""),"-",""),".",""),"/","")),"Yes","No"))</f>
      </c>
      <c r="J22" s="7">
        <f>IF(OR(H22="",N22=""),"",IF(ABS(H22-N22)&lt;=0.01,"Yes","No"))</f>
      </c>
      <c r="K22" s="7">
        <f>IF(OR(G22="",O22=""),"",IF(UPPER(SUBSTITUTE(SUBSTITUTE(SUBSTITUTE(SUBSTITUTE(G22," ",""),"-",""),".",""),"/",""))=UPPER(SUBSTITUTE(SUBSTITUTE(SUBSTITUTE(SUBSTITUTE(O22," ",""),"-",""),".",""),"/","")),"Yes","No"))</f>
      </c>
      <c r="L22" s="7">
        <f>IF(OR(H22="",P22=""),"",IF(ABS(H22-P22)&lt;=0.01,"Yes","No"))</f>
      </c>
      <c r="M22" s="7" t="s">
        <v>252</v>
      </c>
      <c r="N22" s="7">
        <v>195</v>
      </c>
      <c r="O22" s="7" t="s">
        <v>252</v>
      </c>
      <c r="P22" s="7">
        <v>195</v>
      </c>
    </row>
    <row r="23" spans="1:16" x14ac:dyDescent="0.25">
      <c r="A23" s="7" t="s">
        <v>238</v>
      </c>
      <c r="B23" s="7">
        <v>8</v>
      </c>
      <c r="C23" s="7" t="s">
        <v>253</v>
      </c>
      <c r="D23" s="7">
        <v>1</v>
      </c>
      <c r="E23" s="7">
        <v>25</v>
      </c>
      <c r="F23" s="15" t="s">
        <v>66</v>
      </c>
      <c r="G23" s="17" t="s">
        <v>73</v>
      </c>
      <c r="H23" s="17" t="s">
        <v>73</v>
      </c>
      <c r="I23" s="7">
        <f>IF(OR(G23="",M23=""),"",IF(UPPER(SUBSTITUTE(SUBSTITUTE(SUBSTITUTE(SUBSTITUTE(G23," ",""),"-",""),".",""),"/",""))=UPPER(SUBSTITUTE(SUBSTITUTE(SUBSTITUTE(SUBSTITUTE(M23," ",""),"-",""),".",""),"/","")),"Yes","No"))</f>
      </c>
      <c r="J23" s="7">
        <f>IF(OR(H23="",N23=""),"",IF(ABS(H23-N23)&lt;=0.01,"Yes","No"))</f>
      </c>
      <c r="K23" s="7">
        <f>IF(OR(G23="",O23=""),"",IF(UPPER(SUBSTITUTE(SUBSTITUTE(SUBSTITUTE(SUBSTITUTE(G23," ",""),"-",""),".",""),"/",""))=UPPER(SUBSTITUTE(SUBSTITUTE(SUBSTITUTE(SUBSTITUTE(O23," ",""),"-",""),".",""),"/","")),"Yes","No"))</f>
      </c>
      <c r="L23" s="7">
        <f>IF(OR(H23="",P23=""),"",IF(ABS(H23-P23)&lt;=0.01,"Yes","No"))</f>
      </c>
      <c r="M23" s="7" t="s">
        <v>254</v>
      </c>
      <c r="N23" s="7">
        <v>25</v>
      </c>
      <c r="O23" s="7" t="s">
        <v>254</v>
      </c>
      <c r="P23" s="7">
        <v>25</v>
      </c>
    </row>
    <row r="24" spans="1:16" x14ac:dyDescent="0.25">
      <c r="A24" s="7" t="s">
        <v>238</v>
      </c>
      <c r="B24" s="7">
        <v>9</v>
      </c>
      <c r="C24" s="7" t="s">
        <v>255</v>
      </c>
      <c r="D24" s="7">
        <v>1</v>
      </c>
      <c r="E24" s="7">
        <v>95</v>
      </c>
      <c r="F24" s="15" t="s">
        <v>66</v>
      </c>
      <c r="G24" s="17" t="s">
        <v>73</v>
      </c>
      <c r="H24" s="17" t="s">
        <v>73</v>
      </c>
      <c r="I24" s="7">
        <f>IF(OR(G24="",M24=""),"",IF(UPPER(SUBSTITUTE(SUBSTITUTE(SUBSTITUTE(SUBSTITUTE(G24," ",""),"-",""),".",""),"/",""))=UPPER(SUBSTITUTE(SUBSTITUTE(SUBSTITUTE(SUBSTITUTE(M24," ",""),"-",""),".",""),"/","")),"Yes","No"))</f>
      </c>
      <c r="J24" s="7">
        <f>IF(OR(H24="",N24=""),"",IF(ABS(H24-N24)&lt;=0.01,"Yes","No"))</f>
      </c>
      <c r="K24" s="7">
        <f>IF(OR(G24="",O24=""),"",IF(UPPER(SUBSTITUTE(SUBSTITUTE(SUBSTITUTE(SUBSTITUTE(G24," ",""),"-",""),".",""),"/",""))=UPPER(SUBSTITUTE(SUBSTITUTE(SUBSTITUTE(SUBSTITUTE(O24," ",""),"-",""),".",""),"/","")),"Yes","No"))</f>
      </c>
      <c r="L24" s="7">
        <f>IF(OR(H24="",P24=""),"",IF(ABS(H24-P24)&lt;=0.01,"Yes","No"))</f>
      </c>
      <c r="M24" s="7" t="s">
        <v>256</v>
      </c>
      <c r="N24" s="7">
        <v>95</v>
      </c>
      <c r="O24" s="7" t="s">
        <v>256</v>
      </c>
      <c r="P24" s="7">
        <v>95</v>
      </c>
    </row>
    <row r="25" spans="1:16" x14ac:dyDescent="0.25">
      <c r="A25" s="7" t="s">
        <v>238</v>
      </c>
      <c r="B25" s="7">
        <v>10</v>
      </c>
      <c r="C25" s="7" t="s">
        <v>257</v>
      </c>
      <c r="D25" s="7">
        <v>1</v>
      </c>
      <c r="E25" s="7">
        <v>350</v>
      </c>
      <c r="F25" s="15" t="s">
        <v>66</v>
      </c>
      <c r="G25" s="17" t="s">
        <v>73</v>
      </c>
      <c r="H25" s="17" t="s">
        <v>73</v>
      </c>
      <c r="I25" s="7">
        <f>IF(OR(G25="",M25=""),"",IF(UPPER(SUBSTITUTE(SUBSTITUTE(SUBSTITUTE(SUBSTITUTE(G25," ",""),"-",""),".",""),"/",""))=UPPER(SUBSTITUTE(SUBSTITUTE(SUBSTITUTE(SUBSTITUTE(M25," ",""),"-",""),".",""),"/","")),"Yes","No"))</f>
      </c>
      <c r="J25" s="7">
        <f>IF(OR(H25="",N25=""),"",IF(ABS(H25-N25)&lt;=0.01,"Yes","No"))</f>
      </c>
      <c r="K25" s="7">
        <f>IF(OR(G25="",O25=""),"",IF(UPPER(SUBSTITUTE(SUBSTITUTE(SUBSTITUTE(SUBSTITUTE(G25," ",""),"-",""),".",""),"/",""))=UPPER(SUBSTITUTE(SUBSTITUTE(SUBSTITUTE(SUBSTITUTE(O25," ",""),"-",""),".",""),"/","")),"Yes","No"))</f>
      </c>
      <c r="L25" s="7">
        <f>IF(OR(H25="",P25=""),"",IF(ABS(H25-P25)&lt;=0.01,"Yes","No"))</f>
      </c>
      <c r="M25" s="7" t="s">
        <v>258</v>
      </c>
      <c r="N25" s="7">
        <v>350</v>
      </c>
      <c r="O25" s="7" t="s">
        <v>258</v>
      </c>
      <c r="P25" s="7">
        <v>350</v>
      </c>
    </row>
    <row r="26" spans="1:16" x14ac:dyDescent="0.25">
      <c r="A26" s="7" t="s">
        <v>238</v>
      </c>
      <c r="B26" s="7">
        <v>11</v>
      </c>
      <c r="C26" s="7" t="s">
        <v>259</v>
      </c>
      <c r="D26" s="7">
        <v>1</v>
      </c>
      <c r="E26" s="7">
        <v>135</v>
      </c>
      <c r="F26" s="15" t="s">
        <v>66</v>
      </c>
      <c r="G26" s="17" t="s">
        <v>73</v>
      </c>
      <c r="H26" s="17" t="s">
        <v>73</v>
      </c>
      <c r="I26" s="7">
        <f>IF(OR(G26="",M26=""),"",IF(UPPER(SUBSTITUTE(SUBSTITUTE(SUBSTITUTE(SUBSTITUTE(G26," ",""),"-",""),".",""),"/",""))=UPPER(SUBSTITUTE(SUBSTITUTE(SUBSTITUTE(SUBSTITUTE(M26," ",""),"-",""),".",""),"/","")),"Yes","No"))</f>
      </c>
      <c r="J26" s="7">
        <f>IF(OR(H26="",N26=""),"",IF(ABS(H26-N26)&lt;=0.01,"Yes","No"))</f>
      </c>
      <c r="K26" s="7">
        <f>IF(OR(G26="",O26=""),"",IF(UPPER(SUBSTITUTE(SUBSTITUTE(SUBSTITUTE(SUBSTITUTE(G26," ",""),"-",""),".",""),"/",""))=UPPER(SUBSTITUTE(SUBSTITUTE(SUBSTITUTE(SUBSTITUTE(O26," ",""),"-",""),".",""),"/","")),"Yes","No"))</f>
      </c>
      <c r="L26" s="7">
        <f>IF(OR(H26="",P26=""),"",IF(ABS(H26-P26)&lt;=0.01,"Yes","No"))</f>
      </c>
      <c r="M26" s="7" t="s">
        <v>260</v>
      </c>
      <c r="N26" s="7">
        <v>135</v>
      </c>
      <c r="O26" s="7" t="s">
        <v>260</v>
      </c>
      <c r="P26" s="7">
        <v>135</v>
      </c>
    </row>
    <row r="27" spans="1:16" x14ac:dyDescent="0.25">
      <c r="A27" s="7" t="s">
        <v>238</v>
      </c>
      <c r="B27" s="7">
        <v>12</v>
      </c>
      <c r="C27" s="7" t="s">
        <v>261</v>
      </c>
      <c r="D27" s="7">
        <v>1</v>
      </c>
      <c r="E27" s="7">
        <v>20</v>
      </c>
      <c r="F27" s="15" t="s">
        <v>66</v>
      </c>
      <c r="G27" s="17" t="s">
        <v>73</v>
      </c>
      <c r="H27" s="17" t="s">
        <v>73</v>
      </c>
      <c r="I27" s="7">
        <f>IF(OR(G27="",M27=""),"",IF(UPPER(SUBSTITUTE(SUBSTITUTE(SUBSTITUTE(SUBSTITUTE(G27," ",""),"-",""),".",""),"/",""))=UPPER(SUBSTITUTE(SUBSTITUTE(SUBSTITUTE(SUBSTITUTE(M27," ",""),"-",""),".",""),"/","")),"Yes","No"))</f>
      </c>
      <c r="J27" s="7">
        <f>IF(OR(H27="",N27=""),"",IF(ABS(H27-N27)&lt;=0.01,"Yes","No"))</f>
      </c>
      <c r="K27" s="7">
        <f>IF(OR(G27="",O27=""),"",IF(UPPER(SUBSTITUTE(SUBSTITUTE(SUBSTITUTE(SUBSTITUTE(G27," ",""),"-",""),".",""),"/",""))=UPPER(SUBSTITUTE(SUBSTITUTE(SUBSTITUTE(SUBSTITUTE(O27," ",""),"-",""),".",""),"/","")),"Yes","No"))</f>
      </c>
      <c r="L27" s="7">
        <f>IF(OR(H27="",P27=""),"",IF(ABS(H27-P27)&lt;=0.01,"Yes","No"))</f>
      </c>
      <c r="M27" s="7" t="s">
        <v>262</v>
      </c>
      <c r="N27" s="7">
        <v>20</v>
      </c>
      <c r="O27" s="7" t="s">
        <v>262</v>
      </c>
      <c r="P27" s="7">
        <v>20</v>
      </c>
    </row>
    <row r="28" spans="1:16" x14ac:dyDescent="0.25">
      <c r="A28" s="7" t="s">
        <v>238</v>
      </c>
      <c r="B28" s="7">
        <v>13</v>
      </c>
      <c r="C28" s="7" t="s">
        <v>263</v>
      </c>
      <c r="D28" s="7">
        <v>1</v>
      </c>
      <c r="E28" s="7">
        <v>165</v>
      </c>
      <c r="F28" s="15" t="s">
        <v>66</v>
      </c>
      <c r="G28" s="17" t="s">
        <v>73</v>
      </c>
      <c r="H28" s="17" t="s">
        <v>73</v>
      </c>
      <c r="I28" s="7">
        <f>IF(OR(G28="",M28=""),"",IF(UPPER(SUBSTITUTE(SUBSTITUTE(SUBSTITUTE(SUBSTITUTE(G28," ",""),"-",""),".",""),"/",""))=UPPER(SUBSTITUTE(SUBSTITUTE(SUBSTITUTE(SUBSTITUTE(M28," ",""),"-",""),".",""),"/","")),"Yes","No"))</f>
      </c>
      <c r="J28" s="7">
        <f>IF(OR(H28="",N28=""),"",IF(ABS(H28-N28)&lt;=0.01,"Yes","No"))</f>
      </c>
      <c r="K28" s="7">
        <f>IF(OR(G28="",O28=""),"",IF(UPPER(SUBSTITUTE(SUBSTITUTE(SUBSTITUTE(SUBSTITUTE(G28," ",""),"-",""),".",""),"/",""))=UPPER(SUBSTITUTE(SUBSTITUTE(SUBSTITUTE(SUBSTITUTE(O28," ",""),"-",""),".",""),"/","")),"Yes","No"))</f>
      </c>
      <c r="L28" s="7">
        <f>IF(OR(H28="",P28=""),"",IF(ABS(H28-P28)&lt;=0.01,"Yes","No"))</f>
      </c>
      <c r="M28" s="7" t="s">
        <v>264</v>
      </c>
      <c r="N28" s="7">
        <v>165</v>
      </c>
      <c r="O28" s="7" t="s">
        <v>264</v>
      </c>
      <c r="P28" s="7">
        <v>165</v>
      </c>
    </row>
    <row r="29" spans="1:16" x14ac:dyDescent="0.25">
      <c r="A29" s="7" t="s">
        <v>238</v>
      </c>
      <c r="B29" s="7">
        <v>14</v>
      </c>
      <c r="C29" s="7" t="s">
        <v>265</v>
      </c>
      <c r="D29" s="7">
        <v>1</v>
      </c>
      <c r="E29" s="7">
        <v>950</v>
      </c>
      <c r="F29" s="15" t="s">
        <v>66</v>
      </c>
      <c r="G29" s="17" t="s">
        <v>73</v>
      </c>
      <c r="H29" s="17" t="s">
        <v>73</v>
      </c>
      <c r="I29" s="7">
        <f>IF(OR(G29="",M29=""),"",IF(UPPER(SUBSTITUTE(SUBSTITUTE(SUBSTITUTE(SUBSTITUTE(G29," ",""),"-",""),".",""),"/",""))=UPPER(SUBSTITUTE(SUBSTITUTE(SUBSTITUTE(SUBSTITUTE(M29," ",""),"-",""),".",""),"/","")),"Yes","No"))</f>
      </c>
      <c r="J29" s="7">
        <f>IF(OR(H29="",N29=""),"",IF(ABS(H29-N29)&lt;=0.01,"Yes","No"))</f>
      </c>
      <c r="K29" s="7">
        <f>IF(OR(G29="",O29=""),"",IF(UPPER(SUBSTITUTE(SUBSTITUTE(SUBSTITUTE(SUBSTITUTE(G29," ",""),"-",""),".",""),"/",""))=UPPER(SUBSTITUTE(SUBSTITUTE(SUBSTITUTE(SUBSTITUTE(O29," ",""),"-",""),".",""),"/","")),"Yes","No"))</f>
      </c>
      <c r="L29" s="7">
        <f>IF(OR(H29="",P29=""),"",IF(ABS(H29-P29)&lt;=0.01,"Yes","No"))</f>
      </c>
      <c r="M29" s="7" t="s">
        <v>266</v>
      </c>
      <c r="N29" s="7">
        <v>950</v>
      </c>
      <c r="O29" s="7" t="s">
        <v>266</v>
      </c>
      <c r="P29" s="7">
        <v>950</v>
      </c>
    </row>
    <row r="30" spans="1:16" x14ac:dyDescent="0.25">
      <c r="A30" s="7" t="s">
        <v>238</v>
      </c>
      <c r="B30" s="7">
        <v>15</v>
      </c>
      <c r="C30" s="7" t="s">
        <v>267</v>
      </c>
      <c r="D30" s="7">
        <v>1</v>
      </c>
      <c r="E30" s="7">
        <v>95</v>
      </c>
      <c r="F30" s="15" t="s">
        <v>66</v>
      </c>
      <c r="G30" s="17" t="s">
        <v>73</v>
      </c>
      <c r="H30" s="17" t="s">
        <v>73</v>
      </c>
      <c r="I30" s="7">
        <f>IF(OR(G30="",M30=""),"",IF(UPPER(SUBSTITUTE(SUBSTITUTE(SUBSTITUTE(SUBSTITUTE(G30," ",""),"-",""),".",""),"/",""))=UPPER(SUBSTITUTE(SUBSTITUTE(SUBSTITUTE(SUBSTITUTE(M30," ",""),"-",""),".",""),"/","")),"Yes","No"))</f>
      </c>
      <c r="J30" s="7">
        <f>IF(OR(H30="",N30=""),"",IF(ABS(H30-N30)&lt;=0.01,"Yes","No"))</f>
      </c>
      <c r="K30" s="7">
        <f>IF(OR(G30="",O30=""),"",IF(UPPER(SUBSTITUTE(SUBSTITUTE(SUBSTITUTE(SUBSTITUTE(G30," ",""),"-",""),".",""),"/",""))=UPPER(SUBSTITUTE(SUBSTITUTE(SUBSTITUTE(SUBSTITUTE(O30," ",""),"-",""),".",""),"/","")),"Yes","No"))</f>
      </c>
      <c r="L30" s="7">
        <f>IF(OR(H30="",P30=""),"",IF(ABS(H30-P30)&lt;=0.01,"Yes","No"))</f>
      </c>
      <c r="M30" s="7" t="s">
        <v>268</v>
      </c>
      <c r="N30" s="7">
        <v>95</v>
      </c>
      <c r="O30" s="7" t="s">
        <v>268</v>
      </c>
      <c r="P30" s="7">
        <v>95</v>
      </c>
    </row>
    <row r="31" spans="1:16" x14ac:dyDescent="0.25">
      <c r="A31" s="7" t="s">
        <v>269</v>
      </c>
      <c r="B31" s="7">
        <v>1</v>
      </c>
      <c r="C31" s="7" t="s">
        <v>270</v>
      </c>
      <c r="D31" s="7">
        <v>16</v>
      </c>
      <c r="E31" s="7">
        <v>48</v>
      </c>
      <c r="F31" s="15" t="s">
        <v>66</v>
      </c>
      <c r="G31" s="17" t="s">
        <v>73</v>
      </c>
      <c r="H31" s="17" t="s">
        <v>73</v>
      </c>
      <c r="I31" s="7">
        <f>IF(OR(G31="",M31=""),"",IF(UPPER(SUBSTITUTE(SUBSTITUTE(SUBSTITUTE(SUBSTITUTE(G31," ",""),"-",""),".",""),"/",""))=UPPER(SUBSTITUTE(SUBSTITUTE(SUBSTITUTE(SUBSTITUTE(M31," ",""),"-",""),".",""),"/","")),"Yes","No"))</f>
      </c>
      <c r="J31" s="7">
        <f>IF(OR(H31="",N31=""),"",IF(ABS(H31-N31)&lt;=0.01,"Yes","No"))</f>
      </c>
      <c r="K31" s="7">
        <f>IF(OR(G31="",O31=""),"",IF(UPPER(SUBSTITUTE(SUBSTITUTE(SUBSTITUTE(SUBSTITUTE(G31," ",""),"-",""),".",""),"/",""))=UPPER(SUBSTITUTE(SUBSTITUTE(SUBSTITUTE(SUBSTITUTE(O31," ",""),"-",""),".",""),"/","")),"Yes","No"))</f>
      </c>
      <c r="L31" s="7">
        <f>IF(OR(H31="",P31=""),"",IF(ABS(H31-P31)&lt;=0.01,"Yes","No"))</f>
      </c>
      <c r="M31" s="7" t="s">
        <v>271</v>
      </c>
      <c r="N31" s="7">
        <v>3</v>
      </c>
      <c r="O31" s="7" t="s">
        <v>271</v>
      </c>
      <c r="P31" s="7">
        <v>3</v>
      </c>
    </row>
    <row r="32" spans="1:16" x14ac:dyDescent="0.25">
      <c r="A32" s="7" t="s">
        <v>269</v>
      </c>
      <c r="B32" s="7">
        <v>2</v>
      </c>
      <c r="C32" s="7" t="s">
        <v>272</v>
      </c>
      <c r="D32" s="7">
        <v>1</v>
      </c>
      <c r="E32" s="7">
        <v>175</v>
      </c>
      <c r="F32" s="15" t="s">
        <v>66</v>
      </c>
      <c r="G32" s="17" t="s">
        <v>73</v>
      </c>
      <c r="H32" s="17" t="s">
        <v>73</v>
      </c>
      <c r="I32" s="7">
        <f>IF(OR(G32="",M32=""),"",IF(UPPER(SUBSTITUTE(SUBSTITUTE(SUBSTITUTE(SUBSTITUTE(G32," ",""),"-",""),".",""),"/",""))=UPPER(SUBSTITUTE(SUBSTITUTE(SUBSTITUTE(SUBSTITUTE(M32," ",""),"-",""),".",""),"/","")),"Yes","No"))</f>
      </c>
      <c r="J32" s="7">
        <f>IF(OR(H32="",N32=""),"",IF(ABS(H32-N32)&lt;=0.01,"Yes","No"))</f>
      </c>
      <c r="K32" s="7">
        <f>IF(OR(G32="",O32=""),"",IF(UPPER(SUBSTITUTE(SUBSTITUTE(SUBSTITUTE(SUBSTITUTE(G32," ",""),"-",""),".",""),"/",""))=UPPER(SUBSTITUTE(SUBSTITUTE(SUBSTITUTE(SUBSTITUTE(O32," ",""),"-",""),".",""),"/","")),"Yes","No"))</f>
      </c>
      <c r="L32" s="7">
        <f>IF(OR(H32="",P32=""),"",IF(ABS(H32-P32)&lt;=0.01,"Yes","No"))</f>
      </c>
      <c r="M32" s="7" t="s">
        <v>273</v>
      </c>
      <c r="N32" s="7">
        <v>175</v>
      </c>
      <c r="O32" s="7" t="s">
        <v>273</v>
      </c>
      <c r="P32" s="7">
        <v>175</v>
      </c>
    </row>
    <row r="33" spans="1:16" x14ac:dyDescent="0.25">
      <c r="A33" s="7" t="s">
        <v>274</v>
      </c>
      <c r="B33" s="7">
        <v>1</v>
      </c>
      <c r="C33" s="7" t="s">
        <v>275</v>
      </c>
      <c r="D33" s="7">
        <v>1</v>
      </c>
      <c r="E33" s="7">
        <v>160</v>
      </c>
      <c r="F33" s="15" t="s">
        <v>66</v>
      </c>
      <c r="G33" s="17" t="s">
        <v>73</v>
      </c>
      <c r="H33" s="17" t="s">
        <v>73</v>
      </c>
      <c r="I33" s="7">
        <f>IF(OR(G33="",M33=""),"",IF(UPPER(SUBSTITUTE(SUBSTITUTE(SUBSTITUTE(SUBSTITUTE(G33," ",""),"-",""),".",""),"/",""))=UPPER(SUBSTITUTE(SUBSTITUTE(SUBSTITUTE(SUBSTITUTE(M33," ",""),"-",""),".",""),"/","")),"Yes","No"))</f>
      </c>
      <c r="J33" s="7">
        <f>IF(OR(H33="",N33=""),"",IF(ABS(H33-N33)&lt;=0.01,"Yes","No"))</f>
      </c>
      <c r="K33" s="7">
        <f>IF(OR(G33="",O33=""),"",IF(UPPER(SUBSTITUTE(SUBSTITUTE(SUBSTITUTE(SUBSTITUTE(G33," ",""),"-",""),".",""),"/",""))=UPPER(SUBSTITUTE(SUBSTITUTE(SUBSTITUTE(SUBSTITUTE(O33," ",""),"-",""),".",""),"/","")),"Yes","No"))</f>
      </c>
      <c r="L33" s="7">
        <f>IF(OR(H33="",P33=""),"",IF(ABS(H33-P33)&lt;=0.01,"Yes","No"))</f>
      </c>
      <c r="M33" s="7" t="s">
        <v>276</v>
      </c>
      <c r="N33" s="7">
        <v>160</v>
      </c>
      <c r="O33" s="7" t="s">
        <v>276</v>
      </c>
      <c r="P33" s="7">
        <v>160</v>
      </c>
    </row>
    <row r="34" spans="1:16" x14ac:dyDescent="0.25">
      <c r="A34" s="7" t="s">
        <v>277</v>
      </c>
      <c r="B34" s="7">
        <v>1</v>
      </c>
      <c r="C34" s="7" t="s">
        <v>241</v>
      </c>
      <c r="D34" s="7">
        <v>1</v>
      </c>
      <c r="E34" s="7">
        <v>300</v>
      </c>
      <c r="F34" s="15" t="s">
        <v>66</v>
      </c>
      <c r="G34" s="17" t="s">
        <v>73</v>
      </c>
      <c r="H34" s="17" t="s">
        <v>73</v>
      </c>
      <c r="I34" s="7">
        <f>IF(OR(G34="",M34=""),"",IF(UPPER(SUBSTITUTE(SUBSTITUTE(SUBSTITUTE(SUBSTITUTE(G34," ",""),"-",""),".",""),"/",""))=UPPER(SUBSTITUTE(SUBSTITUTE(SUBSTITUTE(SUBSTITUTE(M34," ",""),"-",""),".",""),"/","")),"Yes","No"))</f>
      </c>
      <c r="J34" s="7">
        <f>IF(OR(H34="",N34=""),"",IF(ABS(H34-N34)&lt;=0.01,"Yes","No"))</f>
      </c>
      <c r="K34" s="7">
        <f>IF(OR(G34="",O34=""),"",IF(UPPER(SUBSTITUTE(SUBSTITUTE(SUBSTITUTE(SUBSTITUTE(G34," ",""),"-",""),".",""),"/",""))=UPPER(SUBSTITUTE(SUBSTITUTE(SUBSTITUTE(SUBSTITUTE(O34," ",""),"-",""),".",""),"/","")),"Yes","No"))</f>
      </c>
      <c r="L34" s="7">
        <f>IF(OR(H34="",P34=""),"",IF(ABS(H34-P34)&lt;=0.01,"Yes","No"))</f>
      </c>
      <c r="M34" s="7" t="s">
        <v>278</v>
      </c>
      <c r="N34" s="7">
        <v>300</v>
      </c>
      <c r="O34" s="7" t="s">
        <v>278</v>
      </c>
      <c r="P34" s="7">
        <v>300</v>
      </c>
    </row>
    <row r="35" spans="1:16" x14ac:dyDescent="0.25">
      <c r="A35" s="7" t="s">
        <v>277</v>
      </c>
      <c r="B35" s="7">
        <v>2</v>
      </c>
      <c r="C35" s="7" t="s">
        <v>279</v>
      </c>
      <c r="D35" s="7">
        <v>1</v>
      </c>
      <c r="E35" s="7">
        <v>50</v>
      </c>
      <c r="F35" s="15" t="s">
        <v>66</v>
      </c>
      <c r="G35" s="17" t="s">
        <v>73</v>
      </c>
      <c r="H35" s="17" t="s">
        <v>73</v>
      </c>
      <c r="I35" s="7">
        <f>IF(OR(G35="",M35=""),"",IF(UPPER(SUBSTITUTE(SUBSTITUTE(SUBSTITUTE(SUBSTITUTE(G35," ",""),"-",""),".",""),"/",""))=UPPER(SUBSTITUTE(SUBSTITUTE(SUBSTITUTE(SUBSTITUTE(M35," ",""),"-",""),".",""),"/","")),"Yes","No"))</f>
      </c>
      <c r="J35" s="7">
        <f>IF(OR(H35="",N35=""),"",IF(ABS(H35-N35)&lt;=0.01,"Yes","No"))</f>
      </c>
      <c r="K35" s="7">
        <f>IF(OR(G35="",O35=""),"",IF(UPPER(SUBSTITUTE(SUBSTITUTE(SUBSTITUTE(SUBSTITUTE(G35," ",""),"-",""),".",""),"/",""))=UPPER(SUBSTITUTE(SUBSTITUTE(SUBSTITUTE(SUBSTITUTE(O35," ",""),"-",""),".",""),"/","")),"Yes","No"))</f>
      </c>
      <c r="L35" s="7">
        <f>IF(OR(H35="",P35=""),"",IF(ABS(H35-P35)&lt;=0.01,"Yes","No"))</f>
      </c>
      <c r="M35" s="7" t="s">
        <v>280</v>
      </c>
      <c r="N35" s="7">
        <v>50</v>
      </c>
      <c r="O35" s="7" t="s">
        <v>280</v>
      </c>
      <c r="P35" s="7">
        <v>50</v>
      </c>
    </row>
    <row r="36" spans="1:16" x14ac:dyDescent="0.25">
      <c r="A36" s="7" t="s">
        <v>277</v>
      </c>
      <c r="B36" s="7">
        <v>3</v>
      </c>
      <c r="C36" s="7" t="s">
        <v>281</v>
      </c>
      <c r="D36" s="7">
        <v>1</v>
      </c>
      <c r="E36" s="7">
        <v>50</v>
      </c>
      <c r="F36" s="15" t="s">
        <v>66</v>
      </c>
      <c r="G36" s="17" t="s">
        <v>73</v>
      </c>
      <c r="H36" s="17" t="s">
        <v>73</v>
      </c>
      <c r="I36" s="7">
        <f>IF(OR(G36="",M36=""),"",IF(UPPER(SUBSTITUTE(SUBSTITUTE(SUBSTITUTE(SUBSTITUTE(G36," ",""),"-",""),".",""),"/",""))=UPPER(SUBSTITUTE(SUBSTITUTE(SUBSTITUTE(SUBSTITUTE(M36," ",""),"-",""),".",""),"/","")),"Yes","No"))</f>
      </c>
      <c r="J36" s="7">
        <f>IF(OR(H36="",N36=""),"",IF(ABS(H36-N36)&lt;=0.01,"Yes","No"))</f>
      </c>
      <c r="K36" s="7">
        <f>IF(OR(G36="",O36=""),"",IF(UPPER(SUBSTITUTE(SUBSTITUTE(SUBSTITUTE(SUBSTITUTE(G36," ",""),"-",""),".",""),"/",""))=UPPER(SUBSTITUTE(SUBSTITUTE(SUBSTITUTE(SUBSTITUTE(O36," ",""),"-",""),".",""),"/","")),"Yes","No"))</f>
      </c>
      <c r="L36" s="7">
        <f>IF(OR(H36="",P36=""),"",IF(ABS(H36-P36)&lt;=0.01,"Yes","No"))</f>
      </c>
      <c r="M36" s="7" t="s">
        <v>282</v>
      </c>
      <c r="N36" s="7">
        <v>50</v>
      </c>
      <c r="O36" s="7" t="s">
        <v>282</v>
      </c>
      <c r="P36" s="7">
        <v>50</v>
      </c>
    </row>
  </sheetData>
  <autoFilter ref="A2:P36"/>
  <mergeCells count="1">
    <mergeCell ref="A1:L1"/>
  </mergeCells>
  <hyperlinks>
    <hyperlink ref="F3" r:id="rId1"/>
    <hyperlink ref="F4" r:id="rId2"/>
    <hyperlink ref="F5" r:id="rId3"/>
    <hyperlink ref="F6" r:id="rId4"/>
    <hyperlink ref="F7" r:id="rId5"/>
    <hyperlink ref="F8" r:id="rId6"/>
    <hyperlink ref="F9"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 ref="F25" r:id="rId23"/>
    <hyperlink ref="F26" r:id="rId24"/>
    <hyperlink ref="F27" r:id="rId25"/>
    <hyperlink ref="F28" r:id="rId26"/>
    <hyperlink ref="F29" r:id="rId27"/>
    <hyperlink ref="F30" r:id="rId28"/>
    <hyperlink ref="F31" r:id="rId29"/>
    <hyperlink ref="F32" r:id="rId30"/>
    <hyperlink ref="F33" r:id="rId31"/>
    <hyperlink ref="F34" r:id="rId32"/>
    <hyperlink ref="F35" r:id="rId33"/>
    <hyperlink ref="F36" r:id="rId34"/>
  </hyperlinks>
  <pageMargins left="0.4" right="0.4" top="0.5" bottom="0.5" header="0.2" footer="0.2"/>
  <pageSetup paperSize="9" orientation="landscape" horizontalDpi="4294967295" verticalDpi="4294967295"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803D"/>
    <pageSetUpPr fitToPage="1"/>
  </sheetPr>
  <dimension ref="A1:C17"/>
  <sheetFormatPr defaultRowHeight="15" outlineLevelRow="0" outlineLevelCol="0" x14ac:dyDescent="55"/>
  <cols>
    <col min="1" max="1" width="52" customWidth="1"/>
    <col min="2" max="2" width="22" customWidth="1"/>
    <col min="3" max="3" width="70" customWidth="1"/>
  </cols>
  <sheetData>
    <row r="1" ht="24" customHeight="1" spans="1:3" x14ac:dyDescent="0.25">
      <c r="A1" s="23" t="s">
        <v>283</v>
      </c>
      <c r="C1" s="10"/>
    </row>
    <row r="2" ht="30" customHeight="1" spans="1:3" x14ac:dyDescent="0.25">
      <c r="A2" s="10" t="s">
        <v>284</v>
      </c>
      <c r="B2" s="24">
        <f>COUNTA('2. Please check these'!$K$2:$K$26)&amp;" of 25"</f>
      </c>
      <c r="C2" s="10" t="s">
        <v>285</v>
      </c>
    </row>
    <row r="3" ht="30" customHeight="1" spans="1:3" x14ac:dyDescent="0.25">
      <c r="A3" s="10" t="s">
        <v>286</v>
      </c>
      <c r="B3" s="24">
        <f>COUNTA('3. Spot check'!$G$3:$G$36)&amp;" of 34"</f>
      </c>
      <c r="C3" s="10" t="s">
        <v>287</v>
      </c>
    </row>
    <row r="4" spans="1:3" x14ac:dyDescent="0.25">
      <c r="A4" s="10" t="s">
        <v>73</v>
      </c>
      <c r="C4" s="10"/>
    </row>
    <row r="5" ht="24" customHeight="1" spans="1:3" x14ac:dyDescent="0.25">
      <c r="A5" s="23" t="s">
        <v>288</v>
      </c>
      <c r="C5" s="10"/>
    </row>
    <row r="6" ht="30" customHeight="1" spans="1:3" x14ac:dyDescent="0.25">
      <c r="A6" s="10" t="s">
        <v>289</v>
      </c>
      <c r="B6" s="24">
        <f>COUNTIFS('2. Please check these'!$C$2:$C$26,"Random",'2. Please check these'!$N$2:$N$26,"line",'2. Please check these'!$K$2:$K$26,"Second reading is right")+COUNTIFS('2. Please check these'!$C$2:$C$26,"Random",'2. Please check these'!$N$2:$N$26,"line",'2. Please check these'!$K$2:$K$26,"Both are wrong")</f>
      </c>
      <c r="C6" s="10" t="s">
        <v>290</v>
      </c>
    </row>
    <row r="7" ht="30" customHeight="1" spans="1:3" x14ac:dyDescent="0.25">
      <c r="A7" s="10" t="s">
        <v>291</v>
      </c>
      <c r="B7" s="25">
        <f>IFERROR(1-(COUNTIFS('2. Please check these'!$C$2:$C$26,"Random",'2. Please check these'!$N$2:$N$26,"line",'2. Please check these'!$K$2:$K$26,"Second reading is right")+COUNTIFS('2. Please check these'!$C$2:$C$26,"Random",'2. Please check these'!$N$2:$N$26,"line",'2. Please check these'!$K$2:$K$26,"Both are wrong"))/216,"")</f>
      </c>
      <c r="C7" s="10" t="s">
        <v>292</v>
      </c>
    </row>
    <row r="8" ht="30" customHeight="1" spans="1:3" x14ac:dyDescent="0.25">
      <c r="A8" s="10" t="s">
        <v>293</v>
      </c>
      <c r="B8" s="24">
        <f>IF(COUNTA('2. Please check these'!$K$2:$K$26)&lt;25,"Finish sheet 2 first","About "&amp;TEXT((COUNTIFS('2. Please check these'!$C$2:$C$26,"Random",'2. Please check these'!$N$2:$N$26,"line",'2. Please check these'!$K$2:$K$26,"Second reading is right")+COUNTIFS('2. Please check these'!$C$2:$C$26,"Random",'2. Please check these'!$N$2:$N$26,"line",'2. Please check these'!$K$2:$K$26,"Both are wrong"))/216*100,"0.0")&amp;" mistakes in every 100 lines")</f>
      </c>
      <c r="C8" s="10"/>
    </row>
    <row r="9" ht="30" customHeight="1" spans="1:3" x14ac:dyDescent="0.25">
      <c r="A9" s="10" t="s">
        <v>294</v>
      </c>
      <c r="B9" s="24">
        <f>COUNTIFS('2. Please check these'!$N$2:$N$26,"missed",'2. Please check these'!$K$2:$K$26,"Second reading is right")</f>
      </c>
      <c r="C9" s="10" t="s">
        <v>295</v>
      </c>
    </row>
    <row r="10" ht="30" customHeight="1" spans="1:3" x14ac:dyDescent="0.25">
      <c r="A10" s="10" t="s">
        <v>296</v>
      </c>
      <c r="B10" s="24">
        <f>COUNTIFS('2. Please check these'!$N$2:$N$26,"header",'2. Please check these'!$K$2:$K$26,"Second reading is right")+COUNTIFS('2. Please check these'!$N$2:$N$26,"header",'2. Please check these'!$K$2:$K$26,"Both are wrong")</f>
      </c>
      <c r="C10" s="10"/>
    </row>
    <row r="11" spans="1:3" x14ac:dyDescent="0.25">
      <c r="A11" s="10" t="s">
        <v>73</v>
      </c>
      <c r="C11" s="10"/>
    </row>
    <row r="12" ht="24" customHeight="1" spans="1:3" x14ac:dyDescent="0.25">
      <c r="A12" s="23" t="s">
        <v>297</v>
      </c>
      <c r="C12" s="10"/>
    </row>
    <row r="13" ht="30" customHeight="1" spans="1:3" x14ac:dyDescent="0.25">
      <c r="A13" s="10" t="s">
        <v>298</v>
      </c>
      <c r="B13" s="25">
        <f>IFERROR(COUNTIF('3. Spot check'!$I$3:$I$36,"No")/(COUNTIF('3. Spot check'!$I$3:$I$36,"Yes")+COUNTIF('3. Spot check'!$I$3:$I$36,"No")),"")</f>
      </c>
      <c r="C13" s="10" t="s">
        <v>299</v>
      </c>
    </row>
    <row r="14" ht="30" customHeight="1" spans="1:3" x14ac:dyDescent="0.25">
      <c r="A14" s="10" t="s">
        <v>300</v>
      </c>
      <c r="B14" s="25">
        <f>IFERROR(COUNTIF('3. Spot check'!$J$3:$J$36,"No")/(COUNTIF('3. Spot check'!$J$3:$J$36,"Yes")+COUNTIF('3. Spot check'!$J$3:$J$36,"No")),"")</f>
      </c>
      <c r="C14" s="10" t="s">
        <v>301</v>
      </c>
    </row>
    <row r="15" ht="30" customHeight="1" spans="1:3" x14ac:dyDescent="0.25">
      <c r="A15" s="10" t="s">
        <v>302</v>
      </c>
      <c r="B15" s="25">
        <f>IFERROR(COUNTIF('3. Spot check'!$K$3:$K$36,"No")/(COUNTIF('3. Spot check'!$K$3:$K$36,"Yes")+COUNTIF('3. Spot check'!$K$3:$K$36,"No")),"")</f>
      </c>
      <c r="C15" s="10" t="s">
        <v>303</v>
      </c>
    </row>
    <row r="16" ht="30" customHeight="1" spans="1:3" x14ac:dyDescent="0.25">
      <c r="A16" s="10" t="s">
        <v>304</v>
      </c>
      <c r="B16" s="25">
        <f>IFERROR(COUNTIF('3. Spot check'!$L$3:$L$36,"No")/(COUNTIF('3. Spot check'!$L$3:$L$36,"Yes")+COUNTIF('3. Spot check'!$L$3:$L$36,"No")),"")</f>
      </c>
      <c r="C16" s="10"/>
    </row>
    <row r="17" ht="30" customHeight="1" spans="1:3" x14ac:dyDescent="0.25">
      <c r="A17" s="10" t="s">
        <v>305</v>
      </c>
      <c r="B17" s="24">
        <f>IF(COUNTA('3. Spot check'!$G$3:$G$36)=0,"Do the spot check first",IF(IFERROR(COUNTIF('3. Spot check'!$I$3:$I$36,"No")/(COUNTIF('3. Spot check'!$I$3:$I$36,"Yes")+COUNTIF('3. Spot check'!$I$3:$I$36,"No")),0)&lt;=0.03,"The second reading is reliable, so agreement between the two readings can be trusted.","The second reading also makes mistakes. Treat agreement with caution and check more lines by hand."))</f>
      </c>
      <c r="C17" s="10"/>
    </row>
  </sheetData>
  <pageMargins left="0.4" right="0.4" top="0.5" bottom="0.5" header="0.2" footer="0.2"/>
  <pageSetup paperSize="9" orientation="portrait" horizontalDpi="4294967295" verticalDpi="4294967295"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6"/>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7" customWidth="1"/>
    <col min="2" max="2" width="12" customWidth="1"/>
    <col min="3" max="3" width="8" customWidth="1"/>
    <col min="4" max="4" width="34" customWidth="1"/>
    <col min="5" max="6" width="20" customWidth="1"/>
    <col min="7" max="8" width="13" customWidth="1"/>
    <col min="9" max="9" width="16" customWidth="1"/>
  </cols>
  <sheetData>
    <row r="1" spans="1:10" x14ac:dyDescent="0.25">
      <c r="A1" s="22" t="s">
        <v>306</v>
      </c>
      <c r="B1" s="22"/>
      <c r="C1" s="22"/>
      <c r="D1" s="22"/>
      <c r="E1" s="22"/>
      <c r="F1" s="22"/>
      <c r="G1" s="22"/>
      <c r="H1" s="22"/>
      <c r="I1" s="22"/>
      <c r="J1" s="22"/>
    </row>
    <row r="2" ht="34" customHeight="1" spans="1:10" x14ac:dyDescent="0.25">
      <c r="A2" s="12" t="s">
        <v>49</v>
      </c>
      <c r="B2" s="12" t="s">
        <v>50</v>
      </c>
      <c r="C2" s="12" t="s">
        <v>199</v>
      </c>
      <c r="D2" s="12" t="s">
        <v>200</v>
      </c>
      <c r="E2" s="12" t="s">
        <v>307</v>
      </c>
      <c r="F2" s="12" t="s">
        <v>308</v>
      </c>
      <c r="G2" s="12" t="s">
        <v>309</v>
      </c>
      <c r="H2" s="12" t="s">
        <v>310</v>
      </c>
      <c r="I2" s="12" t="s">
        <v>311</v>
      </c>
      <c r="J2" s="12" t="s">
        <v>51</v>
      </c>
    </row>
    <row r="3" spans="1:10" x14ac:dyDescent="0.25">
      <c r="A3" s="7" t="s">
        <v>64</v>
      </c>
      <c r="B3" s="7" t="s">
        <v>65</v>
      </c>
      <c r="C3" s="7">
        <v>1</v>
      </c>
      <c r="D3" s="7" t="s">
        <v>312</v>
      </c>
      <c r="E3" s="7" t="s">
        <v>313</v>
      </c>
      <c r="F3" s="7" t="s">
        <v>313</v>
      </c>
      <c r="G3" s="7">
        <v>1100</v>
      </c>
      <c r="H3" s="7">
        <v>1100</v>
      </c>
      <c r="I3" s="26" t="s">
        <v>314</v>
      </c>
      <c r="J3" s="15" t="s">
        <v>66</v>
      </c>
    </row>
    <row r="4" spans="1:10" x14ac:dyDescent="0.25">
      <c r="A4" s="7" t="s">
        <v>64</v>
      </c>
      <c r="B4" s="7" t="s">
        <v>65</v>
      </c>
      <c r="C4" s="7">
        <v>2</v>
      </c>
      <c r="D4" s="7" t="s">
        <v>315</v>
      </c>
      <c r="E4" s="7" t="s">
        <v>316</v>
      </c>
      <c r="F4" s="7" t="s">
        <v>316</v>
      </c>
      <c r="G4" s="7">
        <v>1100</v>
      </c>
      <c r="H4" s="7">
        <v>1100</v>
      </c>
      <c r="I4" s="26" t="s">
        <v>314</v>
      </c>
      <c r="J4" s="15" t="s">
        <v>66</v>
      </c>
    </row>
    <row r="5" spans="1:10" x14ac:dyDescent="0.25">
      <c r="A5" s="7" t="s">
        <v>64</v>
      </c>
      <c r="B5" s="7" t="s">
        <v>65</v>
      </c>
      <c r="C5" s="7">
        <v>3</v>
      </c>
      <c r="D5" s="7" t="s">
        <v>317</v>
      </c>
      <c r="E5" s="7" t="s">
        <v>318</v>
      </c>
      <c r="F5" s="7" t="s">
        <v>318</v>
      </c>
      <c r="G5" s="7">
        <v>45</v>
      </c>
      <c r="H5" s="7">
        <v>45</v>
      </c>
      <c r="I5" s="26" t="s">
        <v>314</v>
      </c>
      <c r="J5" s="15" t="s">
        <v>66</v>
      </c>
    </row>
    <row r="6" spans="1:10" x14ac:dyDescent="0.25">
      <c r="A6" s="7" t="s">
        <v>64</v>
      </c>
      <c r="B6" s="7" t="s">
        <v>65</v>
      </c>
      <c r="C6" s="7">
        <v>4</v>
      </c>
      <c r="D6" s="7" t="s">
        <v>319</v>
      </c>
      <c r="E6" s="7" t="s">
        <v>69</v>
      </c>
      <c r="F6" s="7" t="s">
        <v>70</v>
      </c>
      <c r="G6" s="7">
        <v>2.3</v>
      </c>
      <c r="H6" s="7">
        <v>2.3</v>
      </c>
      <c r="I6" s="20" t="s">
        <v>320</v>
      </c>
      <c r="J6" s="15" t="s">
        <v>66</v>
      </c>
    </row>
    <row r="7" spans="1:10" x14ac:dyDescent="0.25">
      <c r="A7" s="7" t="s">
        <v>64</v>
      </c>
      <c r="B7" s="7" t="s">
        <v>65</v>
      </c>
      <c r="C7" s="7">
        <v>5</v>
      </c>
      <c r="D7" s="7" t="s">
        <v>321</v>
      </c>
      <c r="E7" s="7" t="s">
        <v>79</v>
      </c>
      <c r="F7" s="7" t="s">
        <v>80</v>
      </c>
      <c r="G7" s="7">
        <v>19</v>
      </c>
      <c r="H7" s="7">
        <v>19</v>
      </c>
      <c r="I7" s="20" t="s">
        <v>320</v>
      </c>
      <c r="J7" s="15" t="s">
        <v>66</v>
      </c>
    </row>
    <row r="8" spans="1:10" x14ac:dyDescent="0.25">
      <c r="A8" s="7" t="s">
        <v>64</v>
      </c>
      <c r="B8" s="7" t="s">
        <v>65</v>
      </c>
      <c r="C8" s="7">
        <v>6</v>
      </c>
      <c r="D8" s="7" t="s">
        <v>322</v>
      </c>
      <c r="E8" s="7" t="s">
        <v>84</v>
      </c>
      <c r="F8" s="7" t="s">
        <v>85</v>
      </c>
      <c r="G8" s="7">
        <v>210</v>
      </c>
      <c r="H8" s="7">
        <v>210</v>
      </c>
      <c r="I8" s="20" t="s">
        <v>320</v>
      </c>
      <c r="J8" s="15" t="s">
        <v>66</v>
      </c>
    </row>
    <row r="9" spans="1:10" x14ac:dyDescent="0.25">
      <c r="A9" s="7" t="s">
        <v>64</v>
      </c>
      <c r="B9" s="7" t="s">
        <v>65</v>
      </c>
      <c r="C9" s="7">
        <v>7</v>
      </c>
      <c r="D9" s="7" t="s">
        <v>323</v>
      </c>
      <c r="E9" s="7" t="s">
        <v>324</v>
      </c>
      <c r="F9" s="7" t="s">
        <v>324</v>
      </c>
      <c r="G9" s="7">
        <v>210</v>
      </c>
      <c r="H9" s="7">
        <v>210</v>
      </c>
      <c r="I9" s="26" t="s">
        <v>314</v>
      </c>
      <c r="J9" s="15" t="s">
        <v>66</v>
      </c>
    </row>
    <row r="10" spans="1:10" x14ac:dyDescent="0.25">
      <c r="A10" s="7" t="s">
        <v>64</v>
      </c>
      <c r="B10" s="7" t="s">
        <v>65</v>
      </c>
      <c r="C10" s="7">
        <v>8</v>
      </c>
      <c r="D10" s="7" t="s">
        <v>325</v>
      </c>
      <c r="E10" s="7" t="s">
        <v>326</v>
      </c>
      <c r="F10" s="7" t="s">
        <v>326</v>
      </c>
      <c r="G10" s="7">
        <v>35</v>
      </c>
      <c r="H10" s="7">
        <v>35</v>
      </c>
      <c r="I10" s="26" t="s">
        <v>314</v>
      </c>
      <c r="J10" s="15" t="s">
        <v>66</v>
      </c>
    </row>
    <row r="11" spans="1:10" x14ac:dyDescent="0.25">
      <c r="A11" s="7" t="s">
        <v>64</v>
      </c>
      <c r="B11" s="7" t="s">
        <v>65</v>
      </c>
      <c r="C11" s="7">
        <v>9</v>
      </c>
      <c r="D11" s="7" t="s">
        <v>327</v>
      </c>
      <c r="E11" s="7" t="s">
        <v>328</v>
      </c>
      <c r="F11" s="7" t="s">
        <v>328</v>
      </c>
      <c r="G11" s="7">
        <v>35</v>
      </c>
      <c r="H11" s="7">
        <v>35</v>
      </c>
      <c r="I11" s="26" t="s">
        <v>314</v>
      </c>
      <c r="J11" s="15" t="s">
        <v>66</v>
      </c>
    </row>
    <row r="12" spans="1:10" x14ac:dyDescent="0.25">
      <c r="A12" s="7" t="s">
        <v>64</v>
      </c>
      <c r="B12" s="7" t="s">
        <v>65</v>
      </c>
      <c r="C12" s="7">
        <v>10</v>
      </c>
      <c r="D12" s="7" t="s">
        <v>329</v>
      </c>
      <c r="E12" s="7" t="s">
        <v>90</v>
      </c>
      <c r="F12" s="7" t="s">
        <v>91</v>
      </c>
      <c r="G12" s="7">
        <v>40</v>
      </c>
      <c r="H12" s="7">
        <v>40</v>
      </c>
      <c r="I12" s="20" t="s">
        <v>320</v>
      </c>
      <c r="J12" s="15" t="s">
        <v>66</v>
      </c>
    </row>
    <row r="13" spans="1:10" x14ac:dyDescent="0.25">
      <c r="A13" s="7" t="s">
        <v>330</v>
      </c>
      <c r="B13" s="7" t="s">
        <v>65</v>
      </c>
      <c r="C13" s="7">
        <v>1</v>
      </c>
      <c r="D13" s="7" t="s">
        <v>331</v>
      </c>
      <c r="E13" s="7" t="s">
        <v>332</v>
      </c>
      <c r="F13" s="7" t="s">
        <v>332</v>
      </c>
      <c r="G13" s="7">
        <v>1480</v>
      </c>
      <c r="H13" s="7">
        <v>1480</v>
      </c>
      <c r="I13" s="26" t="s">
        <v>314</v>
      </c>
      <c r="J13" s="15" t="s">
        <v>66</v>
      </c>
    </row>
    <row r="14" spans="1:10" x14ac:dyDescent="0.25">
      <c r="A14" s="7" t="s">
        <v>93</v>
      </c>
      <c r="B14" s="7" t="s">
        <v>65</v>
      </c>
      <c r="C14" s="7">
        <v>1</v>
      </c>
      <c r="D14" s="7" t="s">
        <v>333</v>
      </c>
      <c r="E14" s="7" t="s">
        <v>334</v>
      </c>
      <c r="F14" s="7" t="s">
        <v>334</v>
      </c>
      <c r="G14" s="7">
        <v>41.38</v>
      </c>
      <c r="H14" s="7">
        <v>41.38</v>
      </c>
      <c r="I14" s="26" t="s">
        <v>314</v>
      </c>
      <c r="J14" s="15" t="s">
        <v>66</v>
      </c>
    </row>
    <row r="15" spans="1:10" x14ac:dyDescent="0.25">
      <c r="A15" s="7" t="s">
        <v>93</v>
      </c>
      <c r="B15" s="7" t="s">
        <v>65</v>
      </c>
      <c r="C15" s="7">
        <v>2</v>
      </c>
      <c r="D15" s="7" t="s">
        <v>335</v>
      </c>
      <c r="E15" s="7" t="s">
        <v>135</v>
      </c>
      <c r="F15" s="7" t="s">
        <v>135</v>
      </c>
      <c r="G15" s="7">
        <v>121.49</v>
      </c>
      <c r="H15" s="7">
        <v>121.49</v>
      </c>
      <c r="I15" s="26" t="s">
        <v>314</v>
      </c>
      <c r="J15" s="15" t="s">
        <v>66</v>
      </c>
    </row>
    <row r="16" spans="1:10" x14ac:dyDescent="0.25">
      <c r="A16" s="7" t="s">
        <v>93</v>
      </c>
      <c r="B16" s="7" t="s">
        <v>65</v>
      </c>
      <c r="C16" s="7">
        <v>3</v>
      </c>
      <c r="D16" s="7" t="s">
        <v>336</v>
      </c>
      <c r="E16" s="7" t="s">
        <v>95</v>
      </c>
      <c r="F16" s="7" t="s">
        <v>96</v>
      </c>
      <c r="G16" s="7">
        <v>218.65</v>
      </c>
      <c r="H16" s="7">
        <v>218.65</v>
      </c>
      <c r="I16" s="20" t="s">
        <v>320</v>
      </c>
      <c r="J16" s="15" t="s">
        <v>66</v>
      </c>
    </row>
    <row r="17" spans="1:10" x14ac:dyDescent="0.25">
      <c r="A17" s="7" t="s">
        <v>213</v>
      </c>
      <c r="B17" s="7" t="s">
        <v>65</v>
      </c>
      <c r="C17" s="7">
        <v>1</v>
      </c>
      <c r="D17" s="7" t="s">
        <v>214</v>
      </c>
      <c r="E17" s="7" t="s">
        <v>215</v>
      </c>
      <c r="F17" s="7" t="s">
        <v>215</v>
      </c>
      <c r="G17" s="7">
        <v>3853</v>
      </c>
      <c r="H17" s="7">
        <v>3853</v>
      </c>
      <c r="I17" s="26" t="s">
        <v>314</v>
      </c>
      <c r="J17" s="15" t="s">
        <v>66</v>
      </c>
    </row>
    <row r="18" spans="1:10" x14ac:dyDescent="0.25">
      <c r="A18" s="7" t="s">
        <v>213</v>
      </c>
      <c r="B18" s="7" t="s">
        <v>65</v>
      </c>
      <c r="C18" s="7">
        <v>2</v>
      </c>
      <c r="D18" s="7" t="s">
        <v>216</v>
      </c>
      <c r="E18" s="7" t="s">
        <v>217</v>
      </c>
      <c r="F18" s="7" t="s">
        <v>217</v>
      </c>
      <c r="G18" s="7">
        <v>2825</v>
      </c>
      <c r="H18" s="7">
        <v>2825</v>
      </c>
      <c r="I18" s="26" t="s">
        <v>314</v>
      </c>
      <c r="J18" s="15" t="s">
        <v>66</v>
      </c>
    </row>
    <row r="19" spans="1:10" x14ac:dyDescent="0.25">
      <c r="A19" s="7" t="s">
        <v>213</v>
      </c>
      <c r="B19" s="7" t="s">
        <v>65</v>
      </c>
      <c r="C19" s="7">
        <v>3</v>
      </c>
      <c r="D19" s="7" t="s">
        <v>218</v>
      </c>
      <c r="E19" s="7" t="s">
        <v>219</v>
      </c>
      <c r="F19" s="7" t="s">
        <v>219</v>
      </c>
      <c r="G19" s="7">
        <v>4670</v>
      </c>
      <c r="H19" s="7">
        <v>4670</v>
      </c>
      <c r="I19" s="26" t="s">
        <v>314</v>
      </c>
      <c r="J19" s="15" t="s">
        <v>66</v>
      </c>
    </row>
    <row r="20" spans="1:10" x14ac:dyDescent="0.25">
      <c r="A20" s="7" t="s">
        <v>213</v>
      </c>
      <c r="B20" s="7" t="s">
        <v>65</v>
      </c>
      <c r="C20" s="7">
        <v>4</v>
      </c>
      <c r="D20" s="7" t="s">
        <v>220</v>
      </c>
      <c r="E20" s="7" t="s">
        <v>221</v>
      </c>
      <c r="F20" s="7" t="s">
        <v>221</v>
      </c>
      <c r="G20" s="7">
        <v>1358</v>
      </c>
      <c r="H20" s="7">
        <v>1358</v>
      </c>
      <c r="I20" s="26" t="s">
        <v>314</v>
      </c>
      <c r="J20" s="15" t="s">
        <v>66</v>
      </c>
    </row>
    <row r="21" spans="1:10" x14ac:dyDescent="0.25">
      <c r="A21" s="7" t="s">
        <v>213</v>
      </c>
      <c r="B21" s="7" t="s">
        <v>65</v>
      </c>
      <c r="C21" s="7">
        <v>5</v>
      </c>
      <c r="D21" s="7" t="s">
        <v>222</v>
      </c>
      <c r="E21" s="7" t="s">
        <v>223</v>
      </c>
      <c r="F21" s="7" t="s">
        <v>223</v>
      </c>
      <c r="G21" s="7">
        <v>224</v>
      </c>
      <c r="H21" s="7">
        <v>224</v>
      </c>
      <c r="I21" s="26" t="s">
        <v>314</v>
      </c>
      <c r="J21" s="15" t="s">
        <v>66</v>
      </c>
    </row>
    <row r="22" spans="1:10" x14ac:dyDescent="0.25">
      <c r="A22" s="7" t="s">
        <v>213</v>
      </c>
      <c r="B22" s="7" t="s">
        <v>65</v>
      </c>
      <c r="C22" s="7">
        <v>6</v>
      </c>
      <c r="D22" s="7" t="s">
        <v>224</v>
      </c>
      <c r="E22" s="7" t="s">
        <v>225</v>
      </c>
      <c r="F22" s="7" t="s">
        <v>225</v>
      </c>
      <c r="G22" s="7">
        <v>128.5</v>
      </c>
      <c r="H22" s="7">
        <v>128.5</v>
      </c>
      <c r="I22" s="26" t="s">
        <v>314</v>
      </c>
      <c r="J22" s="15" t="s">
        <v>66</v>
      </c>
    </row>
    <row r="23" spans="1:10" x14ac:dyDescent="0.25">
      <c r="A23" s="7" t="s">
        <v>213</v>
      </c>
      <c r="B23" s="7" t="s">
        <v>65</v>
      </c>
      <c r="C23" s="7">
        <v>7</v>
      </c>
      <c r="D23" s="7" t="s">
        <v>216</v>
      </c>
      <c r="E23" s="7" t="s">
        <v>226</v>
      </c>
      <c r="F23" s="7" t="s">
        <v>226</v>
      </c>
      <c r="G23" s="7">
        <v>3395</v>
      </c>
      <c r="H23" s="7">
        <v>3395</v>
      </c>
      <c r="I23" s="26" t="s">
        <v>314</v>
      </c>
      <c r="J23" s="15" t="s">
        <v>66</v>
      </c>
    </row>
    <row r="24" spans="1:10" x14ac:dyDescent="0.25">
      <c r="A24" s="7" t="s">
        <v>213</v>
      </c>
      <c r="B24" s="7" t="s">
        <v>65</v>
      </c>
      <c r="C24" s="7">
        <v>8</v>
      </c>
      <c r="D24" s="7" t="s">
        <v>227</v>
      </c>
      <c r="E24" s="7" t="s">
        <v>228</v>
      </c>
      <c r="F24" s="7" t="s">
        <v>228</v>
      </c>
      <c r="G24" s="7">
        <v>3</v>
      </c>
      <c r="H24" s="7">
        <v>3</v>
      </c>
      <c r="I24" s="26" t="s">
        <v>314</v>
      </c>
      <c r="J24" s="15" t="s">
        <v>66</v>
      </c>
    </row>
    <row r="25" spans="1:10" x14ac:dyDescent="0.25">
      <c r="A25" s="7" t="s">
        <v>213</v>
      </c>
      <c r="B25" s="7" t="s">
        <v>65</v>
      </c>
      <c r="C25" s="7">
        <v>9</v>
      </c>
      <c r="D25" s="7" t="s">
        <v>229</v>
      </c>
      <c r="E25" s="7" t="s">
        <v>230</v>
      </c>
      <c r="F25" s="7" t="s">
        <v>230</v>
      </c>
      <c r="G25" s="7">
        <v>1240</v>
      </c>
      <c r="H25" s="7">
        <v>1240</v>
      </c>
      <c r="I25" s="26" t="s">
        <v>314</v>
      </c>
      <c r="J25" s="15" t="s">
        <v>66</v>
      </c>
    </row>
    <row r="26" spans="1:10" x14ac:dyDescent="0.25">
      <c r="A26" s="7" t="s">
        <v>213</v>
      </c>
      <c r="B26" s="7" t="s">
        <v>65</v>
      </c>
      <c r="C26" s="7">
        <v>10</v>
      </c>
      <c r="D26" s="7" t="s">
        <v>227</v>
      </c>
      <c r="E26" s="7" t="s">
        <v>231</v>
      </c>
      <c r="F26" s="7" t="s">
        <v>231</v>
      </c>
      <c r="G26" s="7">
        <v>1.32</v>
      </c>
      <c r="H26" s="7">
        <v>1.32</v>
      </c>
      <c r="I26" s="26" t="s">
        <v>314</v>
      </c>
      <c r="J26" s="15" t="s">
        <v>66</v>
      </c>
    </row>
    <row r="27" spans="1:10" x14ac:dyDescent="0.25">
      <c r="A27" s="7" t="s">
        <v>213</v>
      </c>
      <c r="B27" s="7" t="s">
        <v>65</v>
      </c>
      <c r="C27" s="7">
        <v>11</v>
      </c>
      <c r="D27" s="7" t="s">
        <v>232</v>
      </c>
      <c r="E27" s="7" t="s">
        <v>233</v>
      </c>
      <c r="F27" s="7" t="s">
        <v>233</v>
      </c>
      <c r="G27" s="7">
        <v>115</v>
      </c>
      <c r="H27" s="7">
        <v>115</v>
      </c>
      <c r="I27" s="26" t="s">
        <v>314</v>
      </c>
      <c r="J27" s="15" t="s">
        <v>66</v>
      </c>
    </row>
    <row r="28" spans="1:10" x14ac:dyDescent="0.25">
      <c r="A28" s="7" t="s">
        <v>213</v>
      </c>
      <c r="B28" s="7" t="s">
        <v>65</v>
      </c>
      <c r="C28" s="7">
        <v>12</v>
      </c>
      <c r="D28" s="7" t="s">
        <v>234</v>
      </c>
      <c r="E28" s="7" t="s">
        <v>235</v>
      </c>
      <c r="F28" s="7" t="s">
        <v>235</v>
      </c>
      <c r="G28" s="7">
        <v>4.6</v>
      </c>
      <c r="H28" s="7">
        <v>4.6</v>
      </c>
      <c r="I28" s="26" t="s">
        <v>314</v>
      </c>
      <c r="J28" s="15" t="s">
        <v>66</v>
      </c>
    </row>
    <row r="29" spans="1:10" x14ac:dyDescent="0.25">
      <c r="A29" s="7" t="s">
        <v>213</v>
      </c>
      <c r="B29" s="7" t="s">
        <v>65</v>
      </c>
      <c r="C29" s="7">
        <v>13</v>
      </c>
      <c r="D29" s="7" t="s">
        <v>236</v>
      </c>
      <c r="E29" s="7" t="s">
        <v>237</v>
      </c>
      <c r="F29" s="7" t="s">
        <v>237</v>
      </c>
      <c r="G29" s="7">
        <v>3808</v>
      </c>
      <c r="H29" s="7">
        <v>3808</v>
      </c>
      <c r="I29" s="26" t="s">
        <v>314</v>
      </c>
      <c r="J29" s="15" t="s">
        <v>66</v>
      </c>
    </row>
    <row r="30" spans="1:10" x14ac:dyDescent="0.25">
      <c r="A30" s="7" t="s">
        <v>337</v>
      </c>
      <c r="B30" s="7" t="s">
        <v>65</v>
      </c>
      <c r="C30" s="7">
        <v>1</v>
      </c>
      <c r="D30" s="7" t="s">
        <v>338</v>
      </c>
      <c r="E30" s="7" t="s">
        <v>339</v>
      </c>
      <c r="F30" s="7" t="s">
        <v>339</v>
      </c>
      <c r="G30" s="7">
        <v>1800</v>
      </c>
      <c r="H30" s="7">
        <v>1800</v>
      </c>
      <c r="I30" s="26" t="s">
        <v>314</v>
      </c>
      <c r="J30" s="15" t="s">
        <v>66</v>
      </c>
    </row>
    <row r="31" spans="1:10" x14ac:dyDescent="0.25">
      <c r="A31" s="7" t="s">
        <v>337</v>
      </c>
      <c r="B31" s="7" t="s">
        <v>65</v>
      </c>
      <c r="C31" s="7">
        <v>2</v>
      </c>
      <c r="D31" s="7" t="s">
        <v>340</v>
      </c>
      <c r="E31" s="7" t="s">
        <v>341</v>
      </c>
      <c r="F31" s="7" t="s">
        <v>341</v>
      </c>
      <c r="G31" s="7">
        <v>250</v>
      </c>
      <c r="H31" s="7">
        <v>250</v>
      </c>
      <c r="I31" s="26" t="s">
        <v>314</v>
      </c>
      <c r="J31" s="15" t="s">
        <v>66</v>
      </c>
    </row>
    <row r="32" spans="1:10" x14ac:dyDescent="0.25">
      <c r="A32" s="7" t="s">
        <v>337</v>
      </c>
      <c r="B32" s="7" t="s">
        <v>65</v>
      </c>
      <c r="C32" s="7">
        <v>3</v>
      </c>
      <c r="D32" s="7" t="s">
        <v>342</v>
      </c>
      <c r="E32" s="7" t="s">
        <v>343</v>
      </c>
      <c r="F32" s="7" t="s">
        <v>343</v>
      </c>
      <c r="G32" s="7">
        <v>250</v>
      </c>
      <c r="H32" s="7">
        <v>250</v>
      </c>
      <c r="I32" s="26" t="s">
        <v>314</v>
      </c>
      <c r="J32" s="15" t="s">
        <v>66</v>
      </c>
    </row>
    <row r="33" spans="1:10" x14ac:dyDescent="0.25">
      <c r="A33" s="7" t="s">
        <v>337</v>
      </c>
      <c r="B33" s="7" t="s">
        <v>65</v>
      </c>
      <c r="C33" s="7">
        <v>4</v>
      </c>
      <c r="D33" s="7" t="s">
        <v>344</v>
      </c>
      <c r="E33" s="7" t="s">
        <v>345</v>
      </c>
      <c r="F33" s="7" t="s">
        <v>345</v>
      </c>
      <c r="G33" s="7">
        <v>1000</v>
      </c>
      <c r="H33" s="7">
        <v>1000</v>
      </c>
      <c r="I33" s="26" t="s">
        <v>314</v>
      </c>
      <c r="J33" s="15" t="s">
        <v>66</v>
      </c>
    </row>
    <row r="34" spans="1:10" x14ac:dyDescent="0.25">
      <c r="A34" s="7" t="s">
        <v>337</v>
      </c>
      <c r="B34" s="7" t="s">
        <v>65</v>
      </c>
      <c r="C34" s="7">
        <v>5</v>
      </c>
      <c r="D34" s="7" t="s">
        <v>346</v>
      </c>
      <c r="E34" s="7" t="s">
        <v>347</v>
      </c>
      <c r="F34" s="7" t="s">
        <v>347</v>
      </c>
      <c r="G34" s="7">
        <v>550</v>
      </c>
      <c r="H34" s="7">
        <v>550</v>
      </c>
      <c r="I34" s="26" t="s">
        <v>314</v>
      </c>
      <c r="J34" s="15" t="s">
        <v>66</v>
      </c>
    </row>
    <row r="35" spans="1:10" x14ac:dyDescent="0.25">
      <c r="A35" s="7" t="s">
        <v>337</v>
      </c>
      <c r="B35" s="7" t="s">
        <v>65</v>
      </c>
      <c r="C35" s="7">
        <v>6</v>
      </c>
      <c r="D35" s="7" t="s">
        <v>348</v>
      </c>
      <c r="E35" s="7" t="s">
        <v>349</v>
      </c>
      <c r="F35" s="7" t="s">
        <v>349</v>
      </c>
      <c r="G35" s="7">
        <v>550</v>
      </c>
      <c r="H35" s="7">
        <v>550</v>
      </c>
      <c r="I35" s="26" t="s">
        <v>314</v>
      </c>
      <c r="J35" s="15" t="s">
        <v>66</v>
      </c>
    </row>
    <row r="36" spans="1:10" x14ac:dyDescent="0.25">
      <c r="A36" s="7" t="s">
        <v>337</v>
      </c>
      <c r="B36" s="7" t="s">
        <v>65</v>
      </c>
      <c r="C36" s="7">
        <v>7</v>
      </c>
      <c r="D36" s="7" t="s">
        <v>350</v>
      </c>
      <c r="E36" s="7" t="s">
        <v>351</v>
      </c>
      <c r="F36" s="7" t="s">
        <v>351</v>
      </c>
      <c r="G36" s="7">
        <v>150</v>
      </c>
      <c r="H36" s="7">
        <v>150</v>
      </c>
      <c r="I36" s="26" t="s">
        <v>314</v>
      </c>
      <c r="J36" s="15" t="s">
        <v>66</v>
      </c>
    </row>
    <row r="37" spans="1:10" x14ac:dyDescent="0.25">
      <c r="A37" s="7" t="s">
        <v>337</v>
      </c>
      <c r="B37" s="7" t="s">
        <v>65</v>
      </c>
      <c r="C37" s="7">
        <v>8</v>
      </c>
      <c r="D37" s="7" t="s">
        <v>352</v>
      </c>
      <c r="E37" s="7" t="s">
        <v>353</v>
      </c>
      <c r="F37" s="7" t="s">
        <v>353</v>
      </c>
      <c r="G37" s="7">
        <v>600</v>
      </c>
      <c r="H37" s="7">
        <v>600</v>
      </c>
      <c r="I37" s="26" t="s">
        <v>314</v>
      </c>
      <c r="J37" s="15" t="s">
        <v>66</v>
      </c>
    </row>
    <row r="38" spans="1:10" x14ac:dyDescent="0.25">
      <c r="A38" s="7" t="s">
        <v>337</v>
      </c>
      <c r="B38" s="7" t="s">
        <v>65</v>
      </c>
      <c r="C38" s="7">
        <v>9</v>
      </c>
      <c r="D38" s="7" t="s">
        <v>354</v>
      </c>
      <c r="E38" s="7" t="s">
        <v>355</v>
      </c>
      <c r="F38" s="7" t="s">
        <v>355</v>
      </c>
      <c r="G38" s="7">
        <v>250</v>
      </c>
      <c r="H38" s="7">
        <v>250</v>
      </c>
      <c r="I38" s="26" t="s">
        <v>314</v>
      </c>
      <c r="J38" s="15" t="s">
        <v>66</v>
      </c>
    </row>
    <row r="39" spans="1:10" x14ac:dyDescent="0.25">
      <c r="A39" s="7" t="s">
        <v>337</v>
      </c>
      <c r="B39" s="7" t="s">
        <v>65</v>
      </c>
      <c r="C39" s="7">
        <v>10</v>
      </c>
      <c r="D39" s="7" t="s">
        <v>356</v>
      </c>
      <c r="E39" s="7" t="s">
        <v>357</v>
      </c>
      <c r="F39" s="7" t="s">
        <v>357</v>
      </c>
      <c r="G39" s="7">
        <v>580</v>
      </c>
      <c r="H39" s="7">
        <v>580</v>
      </c>
      <c r="I39" s="26" t="s">
        <v>314</v>
      </c>
      <c r="J39" s="15" t="s">
        <v>66</v>
      </c>
    </row>
    <row r="40" spans="1:10" x14ac:dyDescent="0.25">
      <c r="A40" s="7" t="s">
        <v>337</v>
      </c>
      <c r="B40" s="7" t="s">
        <v>65</v>
      </c>
      <c r="C40" s="7">
        <v>11</v>
      </c>
      <c r="D40" s="7" t="s">
        <v>358</v>
      </c>
      <c r="E40" s="7" t="s">
        <v>359</v>
      </c>
      <c r="F40" s="7" t="s">
        <v>359</v>
      </c>
      <c r="G40" s="7">
        <v>700</v>
      </c>
      <c r="H40" s="7">
        <v>700</v>
      </c>
      <c r="I40" s="26" t="s">
        <v>314</v>
      </c>
      <c r="J40" s="15" t="s">
        <v>66</v>
      </c>
    </row>
    <row r="41" spans="1:10" x14ac:dyDescent="0.25">
      <c r="A41" s="7" t="s">
        <v>337</v>
      </c>
      <c r="B41" s="7" t="s">
        <v>65</v>
      </c>
      <c r="C41" s="7">
        <v>12</v>
      </c>
      <c r="D41" s="7" t="s">
        <v>360</v>
      </c>
      <c r="E41" s="7" t="s">
        <v>361</v>
      </c>
      <c r="F41" s="7" t="s">
        <v>361</v>
      </c>
      <c r="G41" s="7">
        <v>300</v>
      </c>
      <c r="H41" s="7">
        <v>300</v>
      </c>
      <c r="I41" s="26" t="s">
        <v>314</v>
      </c>
      <c r="J41" s="15" t="s">
        <v>66</v>
      </c>
    </row>
    <row r="42" spans="1:10" x14ac:dyDescent="0.25">
      <c r="A42" s="7" t="s">
        <v>337</v>
      </c>
      <c r="B42" s="7" t="s">
        <v>65</v>
      </c>
      <c r="C42" s="7">
        <v>13</v>
      </c>
      <c r="D42" s="7" t="s">
        <v>362</v>
      </c>
      <c r="E42" s="7" t="s">
        <v>363</v>
      </c>
      <c r="F42" s="7" t="s">
        <v>363</v>
      </c>
      <c r="G42" s="7">
        <v>250</v>
      </c>
      <c r="H42" s="7">
        <v>250</v>
      </c>
      <c r="I42" s="26" t="s">
        <v>314</v>
      </c>
      <c r="J42" s="15" t="s">
        <v>66</v>
      </c>
    </row>
    <row r="43" spans="1:10" x14ac:dyDescent="0.25">
      <c r="A43" s="7" t="s">
        <v>337</v>
      </c>
      <c r="B43" s="7" t="s">
        <v>65</v>
      </c>
      <c r="C43" s="7">
        <v>14</v>
      </c>
      <c r="D43" s="7" t="s">
        <v>364</v>
      </c>
      <c r="E43" s="7" t="s">
        <v>365</v>
      </c>
      <c r="F43" s="7" t="s">
        <v>365</v>
      </c>
      <c r="G43" s="7">
        <v>550</v>
      </c>
      <c r="H43" s="7">
        <v>550</v>
      </c>
      <c r="I43" s="26" t="s">
        <v>314</v>
      </c>
      <c r="J43" s="15" t="s">
        <v>66</v>
      </c>
    </row>
    <row r="44" spans="1:10" x14ac:dyDescent="0.25">
      <c r="A44" s="7" t="s">
        <v>337</v>
      </c>
      <c r="B44" s="7" t="s">
        <v>65</v>
      </c>
      <c r="C44" s="7">
        <v>15</v>
      </c>
      <c r="D44" s="7" t="s">
        <v>366</v>
      </c>
      <c r="E44" s="7" t="s">
        <v>367</v>
      </c>
      <c r="F44" s="7" t="s">
        <v>367</v>
      </c>
      <c r="G44" s="7">
        <v>140</v>
      </c>
      <c r="H44" s="7">
        <v>140</v>
      </c>
      <c r="I44" s="26" t="s">
        <v>314</v>
      </c>
      <c r="J44" s="15" t="s">
        <v>66</v>
      </c>
    </row>
    <row r="45" spans="1:10" x14ac:dyDescent="0.25">
      <c r="A45" s="7" t="s">
        <v>337</v>
      </c>
      <c r="B45" s="7" t="s">
        <v>65</v>
      </c>
      <c r="C45" s="7">
        <v>16</v>
      </c>
      <c r="D45" s="7" t="s">
        <v>368</v>
      </c>
      <c r="E45" s="7" t="s">
        <v>369</v>
      </c>
      <c r="F45" s="7" t="s">
        <v>369</v>
      </c>
      <c r="G45" s="7">
        <v>140</v>
      </c>
      <c r="H45" s="7">
        <v>140</v>
      </c>
      <c r="I45" s="26" t="s">
        <v>314</v>
      </c>
      <c r="J45" s="15" t="s">
        <v>66</v>
      </c>
    </row>
    <row r="46" spans="1:10" x14ac:dyDescent="0.25">
      <c r="A46" s="7" t="s">
        <v>337</v>
      </c>
      <c r="B46" s="7" t="s">
        <v>65</v>
      </c>
      <c r="C46" s="7">
        <v>17</v>
      </c>
      <c r="D46" s="7" t="s">
        <v>370</v>
      </c>
      <c r="E46" s="7" t="s">
        <v>371</v>
      </c>
      <c r="F46" s="7" t="s">
        <v>371</v>
      </c>
      <c r="G46" s="7">
        <v>1250</v>
      </c>
      <c r="H46" s="7">
        <v>1250</v>
      </c>
      <c r="I46" s="26" t="s">
        <v>314</v>
      </c>
      <c r="J46" s="15" t="s">
        <v>66</v>
      </c>
    </row>
    <row r="47" spans="1:10" x14ac:dyDescent="0.25">
      <c r="A47" s="7" t="s">
        <v>337</v>
      </c>
      <c r="B47" s="7" t="s">
        <v>65</v>
      </c>
      <c r="C47" s="7">
        <v>18</v>
      </c>
      <c r="D47" s="7" t="s">
        <v>372</v>
      </c>
      <c r="E47" s="7" t="s">
        <v>373</v>
      </c>
      <c r="F47" s="7" t="s">
        <v>373</v>
      </c>
      <c r="G47" s="7">
        <v>350</v>
      </c>
      <c r="H47" s="7">
        <v>350</v>
      </c>
      <c r="I47" s="26" t="s">
        <v>314</v>
      </c>
      <c r="J47" s="15" t="s">
        <v>66</v>
      </c>
    </row>
    <row r="48" spans="1:10" x14ac:dyDescent="0.25">
      <c r="A48" s="7" t="s">
        <v>374</v>
      </c>
      <c r="B48" s="7" t="s">
        <v>65</v>
      </c>
      <c r="C48" s="7">
        <v>1</v>
      </c>
      <c r="D48" s="7" t="s">
        <v>265</v>
      </c>
      <c r="E48" s="7" t="s">
        <v>375</v>
      </c>
      <c r="F48" s="7" t="s">
        <v>375</v>
      </c>
      <c r="G48" s="7">
        <v>1600</v>
      </c>
      <c r="H48" s="7">
        <v>1600</v>
      </c>
      <c r="I48" s="26" t="s">
        <v>314</v>
      </c>
      <c r="J48" s="15" t="s">
        <v>66</v>
      </c>
    </row>
    <row r="49" spans="1:10" x14ac:dyDescent="0.25">
      <c r="A49" s="7" t="s">
        <v>374</v>
      </c>
      <c r="B49" s="7" t="s">
        <v>65</v>
      </c>
      <c r="C49" s="7">
        <v>2</v>
      </c>
      <c r="D49" s="7" t="s">
        <v>376</v>
      </c>
      <c r="E49" s="7" t="s">
        <v>377</v>
      </c>
      <c r="F49" s="7" t="s">
        <v>377</v>
      </c>
      <c r="G49" s="7">
        <v>400</v>
      </c>
      <c r="H49" s="7">
        <v>400</v>
      </c>
      <c r="I49" s="26" t="s">
        <v>314</v>
      </c>
      <c r="J49" s="15" t="s">
        <v>66</v>
      </c>
    </row>
    <row r="50" spans="1:10" x14ac:dyDescent="0.25">
      <c r="A50" s="7" t="s">
        <v>374</v>
      </c>
      <c r="B50" s="7" t="s">
        <v>65</v>
      </c>
      <c r="C50" s="7">
        <v>3</v>
      </c>
      <c r="D50" s="7" t="s">
        <v>378</v>
      </c>
      <c r="E50" s="7" t="s">
        <v>379</v>
      </c>
      <c r="F50" s="7" t="s">
        <v>379</v>
      </c>
      <c r="G50" s="7">
        <v>60</v>
      </c>
      <c r="H50" s="7">
        <v>60</v>
      </c>
      <c r="I50" s="26" t="s">
        <v>314</v>
      </c>
      <c r="J50" s="15" t="s">
        <v>66</v>
      </c>
    </row>
    <row r="51" spans="1:10" x14ac:dyDescent="0.25">
      <c r="A51" s="7" t="s">
        <v>374</v>
      </c>
      <c r="B51" s="7" t="s">
        <v>65</v>
      </c>
      <c r="C51" s="7">
        <v>4</v>
      </c>
      <c r="D51" s="7" t="s">
        <v>380</v>
      </c>
      <c r="E51" s="7" t="s">
        <v>381</v>
      </c>
      <c r="F51" s="7" t="s">
        <v>381</v>
      </c>
      <c r="G51" s="7">
        <v>380</v>
      </c>
      <c r="H51" s="7">
        <v>380</v>
      </c>
      <c r="I51" s="26" t="s">
        <v>314</v>
      </c>
      <c r="J51" s="15" t="s">
        <v>66</v>
      </c>
    </row>
    <row r="52" spans="1:10" x14ac:dyDescent="0.25">
      <c r="A52" s="7" t="s">
        <v>374</v>
      </c>
      <c r="B52" s="7" t="s">
        <v>65</v>
      </c>
      <c r="C52" s="7">
        <v>5</v>
      </c>
      <c r="D52" s="7" t="s">
        <v>382</v>
      </c>
      <c r="E52" s="7" t="s">
        <v>383</v>
      </c>
      <c r="F52" s="7" t="s">
        <v>383</v>
      </c>
      <c r="G52" s="7">
        <v>100</v>
      </c>
      <c r="H52" s="7">
        <v>100</v>
      </c>
      <c r="I52" s="26" t="s">
        <v>314</v>
      </c>
      <c r="J52" s="15" t="s">
        <v>66</v>
      </c>
    </row>
    <row r="53" spans="1:10" x14ac:dyDescent="0.25">
      <c r="A53" s="7" t="s">
        <v>374</v>
      </c>
      <c r="B53" s="7" t="s">
        <v>65</v>
      </c>
      <c r="C53" s="7">
        <v>6</v>
      </c>
      <c r="D53" s="7" t="s">
        <v>384</v>
      </c>
      <c r="E53" s="7" t="s">
        <v>385</v>
      </c>
      <c r="F53" s="7" t="s">
        <v>385</v>
      </c>
      <c r="G53" s="7">
        <v>75</v>
      </c>
      <c r="H53" s="7">
        <v>75</v>
      </c>
      <c r="I53" s="26" t="s">
        <v>314</v>
      </c>
      <c r="J53" s="15" t="s">
        <v>66</v>
      </c>
    </row>
    <row r="54" spans="1:10" x14ac:dyDescent="0.25">
      <c r="A54" s="7" t="s">
        <v>374</v>
      </c>
      <c r="B54" s="7" t="s">
        <v>65</v>
      </c>
      <c r="C54" s="7">
        <v>7</v>
      </c>
      <c r="D54" s="7" t="s">
        <v>386</v>
      </c>
      <c r="E54" s="7" t="s">
        <v>387</v>
      </c>
      <c r="F54" s="7" t="s">
        <v>387</v>
      </c>
      <c r="G54" s="7">
        <v>60</v>
      </c>
      <c r="H54" s="7">
        <v>60</v>
      </c>
      <c r="I54" s="26" t="s">
        <v>314</v>
      </c>
      <c r="J54" s="15" t="s">
        <v>66</v>
      </c>
    </row>
    <row r="55" spans="1:10" x14ac:dyDescent="0.25">
      <c r="A55" s="7" t="s">
        <v>388</v>
      </c>
      <c r="B55" s="7" t="s">
        <v>65</v>
      </c>
      <c r="C55" s="7">
        <v>1</v>
      </c>
      <c r="D55" s="7" t="s">
        <v>389</v>
      </c>
      <c r="E55" s="7" t="s">
        <v>390</v>
      </c>
      <c r="F55" s="7" t="s">
        <v>390</v>
      </c>
      <c r="G55" s="7">
        <v>1700</v>
      </c>
      <c r="H55" s="7">
        <v>1700</v>
      </c>
      <c r="I55" s="26" t="s">
        <v>314</v>
      </c>
      <c r="J55" s="15" t="s">
        <v>66</v>
      </c>
    </row>
    <row r="56" spans="1:10" x14ac:dyDescent="0.25">
      <c r="A56" s="7" t="s">
        <v>388</v>
      </c>
      <c r="B56" s="7" t="s">
        <v>65</v>
      </c>
      <c r="C56" s="7">
        <v>2</v>
      </c>
      <c r="D56" s="7" t="s">
        <v>391</v>
      </c>
      <c r="E56" s="7" t="s">
        <v>392</v>
      </c>
      <c r="F56" s="7" t="s">
        <v>392</v>
      </c>
      <c r="G56" s="7">
        <v>120</v>
      </c>
      <c r="H56" s="7">
        <v>120</v>
      </c>
      <c r="I56" s="26" t="s">
        <v>314</v>
      </c>
      <c r="J56" s="15" t="s">
        <v>66</v>
      </c>
    </row>
    <row r="57" spans="1:10" x14ac:dyDescent="0.25">
      <c r="A57" s="7" t="s">
        <v>238</v>
      </c>
      <c r="B57" s="7" t="s">
        <v>65</v>
      </c>
      <c r="C57" s="7">
        <v>1</v>
      </c>
      <c r="D57" s="7" t="s">
        <v>239</v>
      </c>
      <c r="E57" s="7" t="s">
        <v>240</v>
      </c>
      <c r="F57" s="7" t="s">
        <v>240</v>
      </c>
      <c r="G57" s="7">
        <v>230</v>
      </c>
      <c r="H57" s="7">
        <v>230</v>
      </c>
      <c r="I57" s="26" t="s">
        <v>314</v>
      </c>
      <c r="J57" s="15" t="s">
        <v>66</v>
      </c>
    </row>
    <row r="58" spans="1:10" x14ac:dyDescent="0.25">
      <c r="A58" s="7" t="s">
        <v>238</v>
      </c>
      <c r="B58" s="7" t="s">
        <v>65</v>
      </c>
      <c r="C58" s="7">
        <v>2</v>
      </c>
      <c r="D58" s="7" t="s">
        <v>241</v>
      </c>
      <c r="E58" s="7" t="s">
        <v>242</v>
      </c>
      <c r="F58" s="7" t="s">
        <v>242</v>
      </c>
      <c r="G58" s="7">
        <v>385</v>
      </c>
      <c r="H58" s="7">
        <v>385</v>
      </c>
      <c r="I58" s="26" t="s">
        <v>314</v>
      </c>
      <c r="J58" s="15" t="s">
        <v>66</v>
      </c>
    </row>
    <row r="59" spans="1:10" x14ac:dyDescent="0.25">
      <c r="A59" s="7" t="s">
        <v>238</v>
      </c>
      <c r="B59" s="7" t="s">
        <v>65</v>
      </c>
      <c r="C59" s="7">
        <v>3</v>
      </c>
      <c r="D59" s="7" t="s">
        <v>243</v>
      </c>
      <c r="E59" s="7" t="s">
        <v>244</v>
      </c>
      <c r="F59" s="7" t="s">
        <v>244</v>
      </c>
      <c r="G59" s="7">
        <v>85</v>
      </c>
      <c r="H59" s="7">
        <v>85</v>
      </c>
      <c r="I59" s="26" t="s">
        <v>314</v>
      </c>
      <c r="J59" s="15" t="s">
        <v>66</v>
      </c>
    </row>
    <row r="60" spans="1:10" x14ac:dyDescent="0.25">
      <c r="A60" s="7" t="s">
        <v>238</v>
      </c>
      <c r="B60" s="7" t="s">
        <v>65</v>
      </c>
      <c r="C60" s="7">
        <v>4</v>
      </c>
      <c r="D60" s="7" t="s">
        <v>245</v>
      </c>
      <c r="E60" s="7" t="s">
        <v>246</v>
      </c>
      <c r="F60" s="7" t="s">
        <v>246</v>
      </c>
      <c r="G60" s="7">
        <v>85</v>
      </c>
      <c r="H60" s="7">
        <v>85</v>
      </c>
      <c r="I60" s="26" t="s">
        <v>314</v>
      </c>
      <c r="J60" s="15" t="s">
        <v>66</v>
      </c>
    </row>
    <row r="61" spans="1:10" x14ac:dyDescent="0.25">
      <c r="A61" s="7" t="s">
        <v>238</v>
      </c>
      <c r="B61" s="7" t="s">
        <v>65</v>
      </c>
      <c r="C61" s="7">
        <v>5</v>
      </c>
      <c r="D61" s="7" t="s">
        <v>247</v>
      </c>
      <c r="E61" s="7" t="s">
        <v>248</v>
      </c>
      <c r="F61" s="7" t="s">
        <v>248</v>
      </c>
      <c r="G61" s="7">
        <v>280</v>
      </c>
      <c r="H61" s="7">
        <v>280</v>
      </c>
      <c r="I61" s="26" t="s">
        <v>314</v>
      </c>
      <c r="J61" s="15" t="s">
        <v>66</v>
      </c>
    </row>
    <row r="62" spans="1:10" x14ac:dyDescent="0.25">
      <c r="A62" s="7" t="s">
        <v>238</v>
      </c>
      <c r="B62" s="7" t="s">
        <v>65</v>
      </c>
      <c r="C62" s="7">
        <v>6</v>
      </c>
      <c r="D62" s="7" t="s">
        <v>249</v>
      </c>
      <c r="E62" s="7" t="s">
        <v>250</v>
      </c>
      <c r="F62" s="7" t="s">
        <v>250</v>
      </c>
      <c r="G62" s="7">
        <v>95</v>
      </c>
      <c r="H62" s="7">
        <v>95</v>
      </c>
      <c r="I62" s="26" t="s">
        <v>314</v>
      </c>
      <c r="J62" s="15" t="s">
        <v>66</v>
      </c>
    </row>
    <row r="63" spans="1:10" x14ac:dyDescent="0.25">
      <c r="A63" s="7" t="s">
        <v>238</v>
      </c>
      <c r="B63" s="7" t="s">
        <v>65</v>
      </c>
      <c r="C63" s="7">
        <v>7</v>
      </c>
      <c r="D63" s="7" t="s">
        <v>251</v>
      </c>
      <c r="E63" s="7" t="s">
        <v>252</v>
      </c>
      <c r="F63" s="7" t="s">
        <v>252</v>
      </c>
      <c r="G63" s="7">
        <v>195</v>
      </c>
      <c r="H63" s="7">
        <v>195</v>
      </c>
      <c r="I63" s="26" t="s">
        <v>314</v>
      </c>
      <c r="J63" s="15" t="s">
        <v>66</v>
      </c>
    </row>
    <row r="64" spans="1:10" x14ac:dyDescent="0.25">
      <c r="A64" s="7" t="s">
        <v>238</v>
      </c>
      <c r="B64" s="7" t="s">
        <v>65</v>
      </c>
      <c r="C64" s="7">
        <v>8</v>
      </c>
      <c r="D64" s="7" t="s">
        <v>253</v>
      </c>
      <c r="E64" s="7" t="s">
        <v>254</v>
      </c>
      <c r="F64" s="7" t="s">
        <v>254</v>
      </c>
      <c r="G64" s="7">
        <v>25</v>
      </c>
      <c r="H64" s="7">
        <v>25</v>
      </c>
      <c r="I64" s="26" t="s">
        <v>314</v>
      </c>
      <c r="J64" s="15" t="s">
        <v>66</v>
      </c>
    </row>
    <row r="65" spans="1:10" x14ac:dyDescent="0.25">
      <c r="A65" s="7" t="s">
        <v>238</v>
      </c>
      <c r="B65" s="7" t="s">
        <v>65</v>
      </c>
      <c r="C65" s="7">
        <v>9</v>
      </c>
      <c r="D65" s="7" t="s">
        <v>255</v>
      </c>
      <c r="E65" s="7" t="s">
        <v>256</v>
      </c>
      <c r="F65" s="7" t="s">
        <v>256</v>
      </c>
      <c r="G65" s="7">
        <v>95</v>
      </c>
      <c r="H65" s="7">
        <v>95</v>
      </c>
      <c r="I65" s="26" t="s">
        <v>314</v>
      </c>
      <c r="J65" s="15" t="s">
        <v>66</v>
      </c>
    </row>
    <row r="66" spans="1:10" x14ac:dyDescent="0.25">
      <c r="A66" s="7" t="s">
        <v>238</v>
      </c>
      <c r="B66" s="7" t="s">
        <v>65</v>
      </c>
      <c r="C66" s="7">
        <v>10</v>
      </c>
      <c r="D66" s="7" t="s">
        <v>257</v>
      </c>
      <c r="E66" s="7" t="s">
        <v>258</v>
      </c>
      <c r="F66" s="7" t="s">
        <v>258</v>
      </c>
      <c r="G66" s="7">
        <v>350</v>
      </c>
      <c r="H66" s="7">
        <v>350</v>
      </c>
      <c r="I66" s="26" t="s">
        <v>314</v>
      </c>
      <c r="J66" s="15" t="s">
        <v>66</v>
      </c>
    </row>
    <row r="67" spans="1:10" x14ac:dyDescent="0.25">
      <c r="A67" s="7" t="s">
        <v>238</v>
      </c>
      <c r="B67" s="7" t="s">
        <v>65</v>
      </c>
      <c r="C67" s="7">
        <v>11</v>
      </c>
      <c r="D67" s="7" t="s">
        <v>259</v>
      </c>
      <c r="E67" s="7" t="s">
        <v>260</v>
      </c>
      <c r="F67" s="7" t="s">
        <v>260</v>
      </c>
      <c r="G67" s="7">
        <v>135</v>
      </c>
      <c r="H67" s="7">
        <v>135</v>
      </c>
      <c r="I67" s="26" t="s">
        <v>314</v>
      </c>
      <c r="J67" s="15" t="s">
        <v>66</v>
      </c>
    </row>
    <row r="68" spans="1:10" x14ac:dyDescent="0.25">
      <c r="A68" s="7" t="s">
        <v>238</v>
      </c>
      <c r="B68" s="7" t="s">
        <v>65</v>
      </c>
      <c r="C68" s="7">
        <v>12</v>
      </c>
      <c r="D68" s="7" t="s">
        <v>261</v>
      </c>
      <c r="E68" s="7" t="s">
        <v>262</v>
      </c>
      <c r="F68" s="7" t="s">
        <v>262</v>
      </c>
      <c r="G68" s="7">
        <v>20</v>
      </c>
      <c r="H68" s="7">
        <v>20</v>
      </c>
      <c r="I68" s="26" t="s">
        <v>314</v>
      </c>
      <c r="J68" s="15" t="s">
        <v>66</v>
      </c>
    </row>
    <row r="69" spans="1:10" x14ac:dyDescent="0.25">
      <c r="A69" s="7" t="s">
        <v>238</v>
      </c>
      <c r="B69" s="7" t="s">
        <v>65</v>
      </c>
      <c r="C69" s="7">
        <v>13</v>
      </c>
      <c r="D69" s="7" t="s">
        <v>263</v>
      </c>
      <c r="E69" s="7" t="s">
        <v>264</v>
      </c>
      <c r="F69" s="7" t="s">
        <v>264</v>
      </c>
      <c r="G69" s="7">
        <v>165</v>
      </c>
      <c r="H69" s="7">
        <v>165</v>
      </c>
      <c r="I69" s="26" t="s">
        <v>314</v>
      </c>
      <c r="J69" s="15" t="s">
        <v>66</v>
      </c>
    </row>
    <row r="70" spans="1:10" x14ac:dyDescent="0.25">
      <c r="A70" s="7" t="s">
        <v>238</v>
      </c>
      <c r="B70" s="7" t="s">
        <v>65</v>
      </c>
      <c r="C70" s="7">
        <v>14</v>
      </c>
      <c r="D70" s="7" t="s">
        <v>265</v>
      </c>
      <c r="E70" s="7" t="s">
        <v>266</v>
      </c>
      <c r="F70" s="7" t="s">
        <v>266</v>
      </c>
      <c r="G70" s="7">
        <v>950</v>
      </c>
      <c r="H70" s="7">
        <v>950</v>
      </c>
      <c r="I70" s="26" t="s">
        <v>314</v>
      </c>
      <c r="J70" s="15" t="s">
        <v>66</v>
      </c>
    </row>
    <row r="71" spans="1:10" x14ac:dyDescent="0.25">
      <c r="A71" s="7" t="s">
        <v>238</v>
      </c>
      <c r="B71" s="7" t="s">
        <v>65</v>
      </c>
      <c r="C71" s="7">
        <v>15</v>
      </c>
      <c r="D71" s="7" t="s">
        <v>267</v>
      </c>
      <c r="E71" s="7" t="s">
        <v>268</v>
      </c>
      <c r="F71" s="7" t="s">
        <v>268</v>
      </c>
      <c r="G71" s="7">
        <v>95</v>
      </c>
      <c r="H71" s="7">
        <v>95</v>
      </c>
      <c r="I71" s="26" t="s">
        <v>314</v>
      </c>
      <c r="J71" s="15" t="s">
        <v>66</v>
      </c>
    </row>
    <row r="72" spans="1:10" x14ac:dyDescent="0.25">
      <c r="A72" s="7" t="s">
        <v>269</v>
      </c>
      <c r="B72" s="7" t="s">
        <v>65</v>
      </c>
      <c r="C72" s="7">
        <v>1</v>
      </c>
      <c r="D72" s="7" t="s">
        <v>270</v>
      </c>
      <c r="E72" s="7" t="s">
        <v>271</v>
      </c>
      <c r="F72" s="7" t="s">
        <v>271</v>
      </c>
      <c r="G72" s="7">
        <v>3</v>
      </c>
      <c r="H72" s="7">
        <v>3</v>
      </c>
      <c r="I72" s="26" t="s">
        <v>314</v>
      </c>
      <c r="J72" s="15" t="s">
        <v>66</v>
      </c>
    </row>
    <row r="73" spans="1:10" x14ac:dyDescent="0.25">
      <c r="A73" s="7" t="s">
        <v>269</v>
      </c>
      <c r="B73" s="7" t="s">
        <v>65</v>
      </c>
      <c r="C73" s="7">
        <v>2</v>
      </c>
      <c r="D73" s="7" t="s">
        <v>272</v>
      </c>
      <c r="E73" s="7" t="s">
        <v>273</v>
      </c>
      <c r="F73" s="7" t="s">
        <v>273</v>
      </c>
      <c r="G73" s="7">
        <v>175</v>
      </c>
      <c r="H73" s="7">
        <v>175</v>
      </c>
      <c r="I73" s="26" t="s">
        <v>314</v>
      </c>
      <c r="J73" s="15" t="s">
        <v>66</v>
      </c>
    </row>
    <row r="74" spans="1:10" x14ac:dyDescent="0.25">
      <c r="A74" s="7" t="s">
        <v>393</v>
      </c>
      <c r="B74" s="7" t="s">
        <v>65</v>
      </c>
      <c r="C74" s="7">
        <v>1</v>
      </c>
      <c r="D74" s="7" t="s">
        <v>394</v>
      </c>
      <c r="E74" s="7" t="s">
        <v>395</v>
      </c>
      <c r="F74" s="7" t="s">
        <v>395</v>
      </c>
      <c r="G74" s="7">
        <v>125</v>
      </c>
      <c r="H74" s="7">
        <v>125</v>
      </c>
      <c r="I74" s="26" t="s">
        <v>314</v>
      </c>
      <c r="J74" s="15" t="s">
        <v>66</v>
      </c>
    </row>
    <row r="75" spans="1:10" x14ac:dyDescent="0.25">
      <c r="A75" s="7" t="s">
        <v>101</v>
      </c>
      <c r="B75" s="7" t="s">
        <v>65</v>
      </c>
      <c r="C75" s="7">
        <v>1</v>
      </c>
      <c r="D75" s="7" t="s">
        <v>396</v>
      </c>
      <c r="E75" s="7" t="s">
        <v>397</v>
      </c>
      <c r="F75" s="7" t="s">
        <v>397</v>
      </c>
      <c r="G75" s="7">
        <v>380</v>
      </c>
      <c r="H75" s="7">
        <v>380</v>
      </c>
      <c r="I75" s="26" t="s">
        <v>314</v>
      </c>
      <c r="J75" s="15" t="s">
        <v>66</v>
      </c>
    </row>
    <row r="76" spans="1:10" x14ac:dyDescent="0.25">
      <c r="A76" s="7" t="s">
        <v>101</v>
      </c>
      <c r="B76" s="7" t="s">
        <v>65</v>
      </c>
      <c r="C76" s="7">
        <v>2</v>
      </c>
      <c r="D76" s="7" t="s">
        <v>398</v>
      </c>
      <c r="E76" s="7" t="s">
        <v>399</v>
      </c>
      <c r="F76" s="7" t="s">
        <v>399</v>
      </c>
      <c r="G76" s="7">
        <v>28</v>
      </c>
      <c r="H76" s="7">
        <v>28</v>
      </c>
      <c r="I76" s="26" t="s">
        <v>314</v>
      </c>
      <c r="J76" s="15" t="s">
        <v>66</v>
      </c>
    </row>
    <row r="77" spans="1:10" x14ac:dyDescent="0.25">
      <c r="A77" s="7" t="s">
        <v>101</v>
      </c>
      <c r="B77" s="7" t="s">
        <v>65</v>
      </c>
      <c r="C77" s="7">
        <v>3</v>
      </c>
      <c r="D77" s="7" t="s">
        <v>400</v>
      </c>
      <c r="E77" s="7" t="s">
        <v>401</v>
      </c>
      <c r="F77" s="7" t="s">
        <v>401</v>
      </c>
      <c r="G77" s="7">
        <v>1</v>
      </c>
      <c r="H77" s="7">
        <v>1</v>
      </c>
      <c r="I77" s="26" t="s">
        <v>314</v>
      </c>
      <c r="J77" s="15" t="s">
        <v>66</v>
      </c>
    </row>
    <row r="78" spans="1:10" x14ac:dyDescent="0.25">
      <c r="A78" s="7" t="s">
        <v>101</v>
      </c>
      <c r="B78" s="7" t="s">
        <v>65</v>
      </c>
      <c r="C78" s="7">
        <v>4</v>
      </c>
      <c r="D78" s="7" t="s">
        <v>402</v>
      </c>
      <c r="E78" s="7" t="s">
        <v>403</v>
      </c>
      <c r="F78" s="7" t="s">
        <v>403</v>
      </c>
      <c r="G78" s="7">
        <v>140</v>
      </c>
      <c r="H78" s="7">
        <v>140</v>
      </c>
      <c r="I78" s="26" t="s">
        <v>314</v>
      </c>
      <c r="J78" s="15" t="s">
        <v>66</v>
      </c>
    </row>
    <row r="79" spans="1:10" x14ac:dyDescent="0.25">
      <c r="A79" s="7" t="s">
        <v>101</v>
      </c>
      <c r="B79" s="7" t="s">
        <v>65</v>
      </c>
      <c r="C79" s="7">
        <v>5</v>
      </c>
      <c r="D79" s="7" t="s">
        <v>404</v>
      </c>
      <c r="E79" s="7" t="s">
        <v>405</v>
      </c>
      <c r="F79" s="7" t="s">
        <v>405</v>
      </c>
      <c r="G79" s="7">
        <v>130</v>
      </c>
      <c r="H79" s="7">
        <v>130</v>
      </c>
      <c r="I79" s="26" t="s">
        <v>314</v>
      </c>
      <c r="J79" s="15" t="s">
        <v>66</v>
      </c>
    </row>
    <row r="80" spans="1:10" x14ac:dyDescent="0.25">
      <c r="A80" s="7" t="s">
        <v>101</v>
      </c>
      <c r="B80" s="7" t="s">
        <v>65</v>
      </c>
      <c r="C80" s="7">
        <v>6</v>
      </c>
      <c r="D80" s="7" t="s">
        <v>406</v>
      </c>
      <c r="E80" s="7" t="s">
        <v>407</v>
      </c>
      <c r="F80" s="7" t="s">
        <v>407</v>
      </c>
      <c r="G80" s="7">
        <v>45</v>
      </c>
      <c r="H80" s="7">
        <v>45</v>
      </c>
      <c r="I80" s="26" t="s">
        <v>314</v>
      </c>
      <c r="J80" s="15" t="s">
        <v>66</v>
      </c>
    </row>
    <row r="81" spans="1:10" x14ac:dyDescent="0.25">
      <c r="A81" s="7" t="s">
        <v>408</v>
      </c>
      <c r="B81" s="7" t="s">
        <v>65</v>
      </c>
      <c r="C81" s="7">
        <v>1</v>
      </c>
      <c r="D81" s="7" t="s">
        <v>409</v>
      </c>
      <c r="E81" s="7" t="s">
        <v>73</v>
      </c>
      <c r="F81" s="7" t="s">
        <v>73</v>
      </c>
      <c r="G81" s="7">
        <v>65</v>
      </c>
      <c r="H81" s="7">
        <v>65</v>
      </c>
      <c r="I81" s="26" t="s">
        <v>314</v>
      </c>
      <c r="J81" s="15" t="s">
        <v>66</v>
      </c>
    </row>
    <row r="82" spans="1:10" x14ac:dyDescent="0.25">
      <c r="A82" s="7" t="s">
        <v>408</v>
      </c>
      <c r="B82" s="7" t="s">
        <v>65</v>
      </c>
      <c r="C82" s="7">
        <v>2</v>
      </c>
      <c r="D82" s="7" t="s">
        <v>410</v>
      </c>
      <c r="E82" s="7" t="s">
        <v>73</v>
      </c>
      <c r="F82" s="7" t="s">
        <v>73</v>
      </c>
      <c r="G82" s="7">
        <v>500</v>
      </c>
      <c r="H82" s="7">
        <v>500</v>
      </c>
      <c r="I82" s="26" t="s">
        <v>314</v>
      </c>
      <c r="J82" s="15" t="s">
        <v>66</v>
      </c>
    </row>
    <row r="83" spans="1:10" x14ac:dyDescent="0.25">
      <c r="A83" s="7" t="s">
        <v>408</v>
      </c>
      <c r="B83" s="7" t="s">
        <v>65</v>
      </c>
      <c r="C83" s="7">
        <v>3</v>
      </c>
      <c r="D83" s="7" t="s">
        <v>411</v>
      </c>
      <c r="E83" s="7" t="s">
        <v>73</v>
      </c>
      <c r="F83" s="7" t="s">
        <v>73</v>
      </c>
      <c r="G83" s="7">
        <v>295</v>
      </c>
      <c r="H83" s="7">
        <v>295</v>
      </c>
      <c r="I83" s="26" t="s">
        <v>314</v>
      </c>
      <c r="J83" s="15" t="s">
        <v>66</v>
      </c>
    </row>
    <row r="84" spans="1:10" x14ac:dyDescent="0.25">
      <c r="A84" s="7" t="s">
        <v>408</v>
      </c>
      <c r="B84" s="7" t="s">
        <v>65</v>
      </c>
      <c r="C84" s="7">
        <v>4</v>
      </c>
      <c r="D84" s="7" t="s">
        <v>412</v>
      </c>
      <c r="E84" s="7" t="s">
        <v>73</v>
      </c>
      <c r="F84" s="7" t="s">
        <v>73</v>
      </c>
      <c r="G84" s="7">
        <v>295</v>
      </c>
      <c r="H84" s="7">
        <v>295</v>
      </c>
      <c r="I84" s="26" t="s">
        <v>314</v>
      </c>
      <c r="J84" s="15" t="s">
        <v>66</v>
      </c>
    </row>
    <row r="85" spans="1:10" x14ac:dyDescent="0.25">
      <c r="A85" s="7" t="s">
        <v>408</v>
      </c>
      <c r="B85" s="7" t="s">
        <v>65</v>
      </c>
      <c r="C85" s="7">
        <v>5</v>
      </c>
      <c r="D85" s="7" t="s">
        <v>413</v>
      </c>
      <c r="E85" s="7" t="s">
        <v>73</v>
      </c>
      <c r="F85" s="7" t="s">
        <v>73</v>
      </c>
      <c r="G85" s="7">
        <v>5</v>
      </c>
      <c r="H85" s="7">
        <v>5</v>
      </c>
      <c r="I85" s="26" t="s">
        <v>314</v>
      </c>
      <c r="J85" s="15" t="s">
        <v>66</v>
      </c>
    </row>
    <row r="86" spans="1:10" x14ac:dyDescent="0.25">
      <c r="A86" s="7" t="s">
        <v>408</v>
      </c>
      <c r="B86" s="7" t="s">
        <v>65</v>
      </c>
      <c r="C86" s="7">
        <v>6</v>
      </c>
      <c r="D86" s="7" t="s">
        <v>241</v>
      </c>
      <c r="E86" s="7" t="s">
        <v>73</v>
      </c>
      <c r="F86" s="7" t="s">
        <v>73</v>
      </c>
      <c r="G86" s="7">
        <v>495</v>
      </c>
      <c r="H86" s="7">
        <v>495</v>
      </c>
      <c r="I86" s="26" t="s">
        <v>314</v>
      </c>
      <c r="J86" s="15" t="s">
        <v>66</v>
      </c>
    </row>
    <row r="87" spans="1:10" x14ac:dyDescent="0.25">
      <c r="A87" s="7" t="s">
        <v>408</v>
      </c>
      <c r="B87" s="7" t="s">
        <v>65</v>
      </c>
      <c r="C87" s="7">
        <v>7</v>
      </c>
      <c r="D87" s="7" t="s">
        <v>414</v>
      </c>
      <c r="E87" s="7" t="s">
        <v>73</v>
      </c>
      <c r="F87" s="7" t="s">
        <v>73</v>
      </c>
      <c r="G87" s="7">
        <v>5</v>
      </c>
      <c r="H87" s="7">
        <v>5</v>
      </c>
      <c r="I87" s="26" t="s">
        <v>314</v>
      </c>
      <c r="J87" s="15" t="s">
        <v>66</v>
      </c>
    </row>
    <row r="88" spans="1:10" x14ac:dyDescent="0.25">
      <c r="A88" s="7" t="s">
        <v>415</v>
      </c>
      <c r="B88" s="7" t="s">
        <v>65</v>
      </c>
      <c r="C88" s="7">
        <v>1</v>
      </c>
      <c r="D88" s="7" t="s">
        <v>416</v>
      </c>
      <c r="E88" s="7" t="s">
        <v>73</v>
      </c>
      <c r="F88" s="7" t="s">
        <v>73</v>
      </c>
      <c r="G88" s="7">
        <v>70</v>
      </c>
      <c r="H88" s="7">
        <v>70</v>
      </c>
      <c r="I88" s="26" t="s">
        <v>314</v>
      </c>
      <c r="J88" s="15" t="s">
        <v>66</v>
      </c>
    </row>
    <row r="89" spans="1:10" x14ac:dyDescent="0.25">
      <c r="A89" s="7" t="s">
        <v>274</v>
      </c>
      <c r="B89" s="7" t="s">
        <v>65</v>
      </c>
      <c r="C89" s="7">
        <v>1</v>
      </c>
      <c r="D89" s="7" t="s">
        <v>275</v>
      </c>
      <c r="E89" s="7" t="s">
        <v>276</v>
      </c>
      <c r="F89" s="7" t="s">
        <v>276</v>
      </c>
      <c r="G89" s="7">
        <v>160</v>
      </c>
      <c r="H89" s="7">
        <v>160</v>
      </c>
      <c r="I89" s="26" t="s">
        <v>314</v>
      </c>
      <c r="J89" s="15" t="s">
        <v>66</v>
      </c>
    </row>
    <row r="90" spans="1:10" x14ac:dyDescent="0.25">
      <c r="A90" s="7" t="s">
        <v>417</v>
      </c>
      <c r="B90" s="7" t="s">
        <v>65</v>
      </c>
      <c r="C90" s="7">
        <v>1</v>
      </c>
      <c r="D90" s="7" t="s">
        <v>418</v>
      </c>
      <c r="E90" s="7" t="s">
        <v>419</v>
      </c>
      <c r="F90" s="7" t="s">
        <v>419</v>
      </c>
      <c r="G90" s="7">
        <v>350</v>
      </c>
      <c r="H90" s="7">
        <v>350</v>
      </c>
      <c r="I90" s="26" t="s">
        <v>314</v>
      </c>
      <c r="J90" s="15" t="s">
        <v>66</v>
      </c>
    </row>
    <row r="91" spans="1:10" x14ac:dyDescent="0.25">
      <c r="A91" s="7" t="s">
        <v>417</v>
      </c>
      <c r="B91" s="7" t="s">
        <v>65</v>
      </c>
      <c r="C91" s="7">
        <v>2</v>
      </c>
      <c r="D91" s="7" t="s">
        <v>420</v>
      </c>
      <c r="E91" s="7" t="s">
        <v>421</v>
      </c>
      <c r="F91" s="7" t="s">
        <v>421</v>
      </c>
      <c r="G91" s="7">
        <v>120</v>
      </c>
      <c r="H91" s="7">
        <v>120</v>
      </c>
      <c r="I91" s="26" t="s">
        <v>314</v>
      </c>
      <c r="J91" s="15" t="s">
        <v>66</v>
      </c>
    </row>
    <row r="92" spans="1:10" x14ac:dyDescent="0.25">
      <c r="A92" s="7" t="s">
        <v>417</v>
      </c>
      <c r="B92" s="7" t="s">
        <v>65</v>
      </c>
      <c r="C92" s="7">
        <v>3</v>
      </c>
      <c r="D92" s="7" t="s">
        <v>422</v>
      </c>
      <c r="E92" s="7" t="s">
        <v>423</v>
      </c>
      <c r="F92" s="7" t="s">
        <v>423</v>
      </c>
      <c r="G92" s="7">
        <v>2</v>
      </c>
      <c r="H92" s="7">
        <v>2</v>
      </c>
      <c r="I92" s="26" t="s">
        <v>314</v>
      </c>
      <c r="J92" s="15" t="s">
        <v>66</v>
      </c>
    </row>
    <row r="93" spans="1:10" x14ac:dyDescent="0.25">
      <c r="A93" s="7" t="s">
        <v>417</v>
      </c>
      <c r="B93" s="7" t="s">
        <v>65</v>
      </c>
      <c r="C93" s="7">
        <v>4</v>
      </c>
      <c r="D93" s="7" t="s">
        <v>424</v>
      </c>
      <c r="E93" s="7" t="s">
        <v>425</v>
      </c>
      <c r="F93" s="7" t="s">
        <v>425</v>
      </c>
      <c r="G93" s="7">
        <v>50</v>
      </c>
      <c r="H93" s="7">
        <v>50</v>
      </c>
      <c r="I93" s="26" t="s">
        <v>314</v>
      </c>
      <c r="J93" s="15" t="s">
        <v>66</v>
      </c>
    </row>
    <row r="94" spans="1:10" x14ac:dyDescent="0.25">
      <c r="A94" s="7" t="s">
        <v>417</v>
      </c>
      <c r="B94" s="7" t="s">
        <v>65</v>
      </c>
      <c r="C94" s="7">
        <v>5</v>
      </c>
      <c r="D94" s="7" t="s">
        <v>426</v>
      </c>
      <c r="E94" s="7" t="s">
        <v>427</v>
      </c>
      <c r="F94" s="7" t="s">
        <v>427</v>
      </c>
      <c r="G94" s="7">
        <v>50</v>
      </c>
      <c r="H94" s="7">
        <v>50</v>
      </c>
      <c r="I94" s="26" t="s">
        <v>314</v>
      </c>
      <c r="J94" s="15" t="s">
        <v>66</v>
      </c>
    </row>
    <row r="95" spans="1:10" x14ac:dyDescent="0.25">
      <c r="A95" s="7" t="s">
        <v>417</v>
      </c>
      <c r="B95" s="7" t="s">
        <v>65</v>
      </c>
      <c r="C95" s="7">
        <v>6</v>
      </c>
      <c r="D95" s="7" t="s">
        <v>428</v>
      </c>
      <c r="E95" s="7" t="s">
        <v>429</v>
      </c>
      <c r="F95" s="7" t="s">
        <v>429</v>
      </c>
      <c r="G95" s="7">
        <v>55</v>
      </c>
      <c r="H95" s="7">
        <v>55</v>
      </c>
      <c r="I95" s="26" t="s">
        <v>314</v>
      </c>
      <c r="J95" s="15" t="s">
        <v>66</v>
      </c>
    </row>
    <row r="96" spans="1:10" x14ac:dyDescent="0.25">
      <c r="A96" s="7" t="s">
        <v>417</v>
      </c>
      <c r="B96" s="7" t="s">
        <v>65</v>
      </c>
      <c r="C96" s="7">
        <v>7</v>
      </c>
      <c r="D96" s="7" t="s">
        <v>430</v>
      </c>
      <c r="E96" s="7" t="s">
        <v>431</v>
      </c>
      <c r="F96" s="7" t="s">
        <v>431</v>
      </c>
      <c r="G96" s="7">
        <v>150</v>
      </c>
      <c r="H96" s="7">
        <v>150</v>
      </c>
      <c r="I96" s="26" t="s">
        <v>314</v>
      </c>
      <c r="J96" s="15" t="s">
        <v>66</v>
      </c>
    </row>
    <row r="97" spans="1:10" x14ac:dyDescent="0.25">
      <c r="A97" s="7" t="s">
        <v>417</v>
      </c>
      <c r="B97" s="7" t="s">
        <v>65</v>
      </c>
      <c r="C97" s="7">
        <v>8</v>
      </c>
      <c r="D97" s="7" t="s">
        <v>432</v>
      </c>
      <c r="E97" s="7" t="s">
        <v>433</v>
      </c>
      <c r="F97" s="7" t="s">
        <v>433</v>
      </c>
      <c r="G97" s="7">
        <v>25</v>
      </c>
      <c r="H97" s="7">
        <v>25</v>
      </c>
      <c r="I97" s="26" t="s">
        <v>314</v>
      </c>
      <c r="J97" s="15" t="s">
        <v>66</v>
      </c>
    </row>
    <row r="98" spans="1:10" x14ac:dyDescent="0.25">
      <c r="A98" s="7" t="s">
        <v>417</v>
      </c>
      <c r="B98" s="7" t="s">
        <v>65</v>
      </c>
      <c r="C98" s="7">
        <v>9</v>
      </c>
      <c r="D98" s="7" t="s">
        <v>434</v>
      </c>
      <c r="E98" s="7" t="s">
        <v>435</v>
      </c>
      <c r="F98" s="7" t="s">
        <v>435</v>
      </c>
      <c r="G98" s="7">
        <v>300</v>
      </c>
      <c r="H98" s="7">
        <v>300</v>
      </c>
      <c r="I98" s="26" t="s">
        <v>314</v>
      </c>
      <c r="J98" s="15" t="s">
        <v>66</v>
      </c>
    </row>
    <row r="99" spans="1:10" x14ac:dyDescent="0.25">
      <c r="A99" s="7" t="s">
        <v>417</v>
      </c>
      <c r="B99" s="7" t="s">
        <v>65</v>
      </c>
      <c r="C99" s="7">
        <v>10</v>
      </c>
      <c r="D99" s="7" t="s">
        <v>436</v>
      </c>
      <c r="E99" s="7" t="s">
        <v>437</v>
      </c>
      <c r="F99" s="7" t="s">
        <v>437</v>
      </c>
      <c r="G99" s="7">
        <v>30</v>
      </c>
      <c r="H99" s="7">
        <v>30</v>
      </c>
      <c r="I99" s="26" t="s">
        <v>314</v>
      </c>
      <c r="J99" s="15" t="s">
        <v>66</v>
      </c>
    </row>
    <row r="100" spans="1:10" x14ac:dyDescent="0.25">
      <c r="A100" s="7" t="s">
        <v>417</v>
      </c>
      <c r="B100" s="7" t="s">
        <v>65</v>
      </c>
      <c r="C100" s="7">
        <v>11</v>
      </c>
      <c r="D100" s="7" t="s">
        <v>438</v>
      </c>
      <c r="E100" s="7" t="s">
        <v>439</v>
      </c>
      <c r="F100" s="7" t="s">
        <v>439</v>
      </c>
      <c r="G100" s="7">
        <v>320</v>
      </c>
      <c r="H100" s="7">
        <v>320</v>
      </c>
      <c r="I100" s="26" t="s">
        <v>314</v>
      </c>
      <c r="J100" s="15" t="s">
        <v>66</v>
      </c>
    </row>
    <row r="101" spans="1:10" x14ac:dyDescent="0.25">
      <c r="A101" s="7" t="s">
        <v>417</v>
      </c>
      <c r="B101" s="7" t="s">
        <v>65</v>
      </c>
      <c r="C101" s="7">
        <v>12</v>
      </c>
      <c r="D101" s="7" t="s">
        <v>440</v>
      </c>
      <c r="E101" s="7" t="s">
        <v>441</v>
      </c>
      <c r="F101" s="7" t="s">
        <v>441</v>
      </c>
      <c r="G101" s="7">
        <v>15</v>
      </c>
      <c r="H101" s="7">
        <v>15</v>
      </c>
      <c r="I101" s="26" t="s">
        <v>314</v>
      </c>
      <c r="J101" s="15" t="s">
        <v>66</v>
      </c>
    </row>
    <row r="102" spans="1:10" x14ac:dyDescent="0.25">
      <c r="A102" s="7" t="s">
        <v>417</v>
      </c>
      <c r="B102" s="7" t="s">
        <v>65</v>
      </c>
      <c r="C102" s="7">
        <v>13</v>
      </c>
      <c r="D102" s="7" t="s">
        <v>442</v>
      </c>
      <c r="E102" s="7" t="s">
        <v>443</v>
      </c>
      <c r="F102" s="7" t="s">
        <v>443</v>
      </c>
      <c r="G102" s="7">
        <v>2</v>
      </c>
      <c r="H102" s="7">
        <v>2</v>
      </c>
      <c r="I102" s="26" t="s">
        <v>314</v>
      </c>
      <c r="J102" s="15" t="s">
        <v>66</v>
      </c>
    </row>
    <row r="103" spans="1:10" x14ac:dyDescent="0.25">
      <c r="A103" s="7" t="s">
        <v>417</v>
      </c>
      <c r="B103" s="7" t="s">
        <v>65</v>
      </c>
      <c r="C103" s="7">
        <v>14</v>
      </c>
      <c r="D103" s="7" t="s">
        <v>444</v>
      </c>
      <c r="E103" s="7" t="s">
        <v>445</v>
      </c>
      <c r="F103" s="7" t="s">
        <v>445</v>
      </c>
      <c r="G103" s="7">
        <v>95</v>
      </c>
      <c r="H103" s="7">
        <v>95</v>
      </c>
      <c r="I103" s="26" t="s">
        <v>314</v>
      </c>
      <c r="J103" s="15" t="s">
        <v>66</v>
      </c>
    </row>
    <row r="104" spans="1:10" x14ac:dyDescent="0.25">
      <c r="A104" s="7" t="s">
        <v>417</v>
      </c>
      <c r="B104" s="7" t="s">
        <v>65</v>
      </c>
      <c r="C104" s="7">
        <v>15</v>
      </c>
      <c r="D104" s="7" t="s">
        <v>446</v>
      </c>
      <c r="E104" s="7" t="s">
        <v>447</v>
      </c>
      <c r="F104" s="7" t="s">
        <v>447</v>
      </c>
      <c r="G104" s="7">
        <v>150</v>
      </c>
      <c r="H104" s="7">
        <v>150</v>
      </c>
      <c r="I104" s="26" t="s">
        <v>314</v>
      </c>
      <c r="J104" s="15" t="s">
        <v>66</v>
      </c>
    </row>
    <row r="105" spans="1:10" x14ac:dyDescent="0.25">
      <c r="A105" s="7" t="s">
        <v>417</v>
      </c>
      <c r="B105" s="7" t="s">
        <v>65</v>
      </c>
      <c r="C105" s="7">
        <v>16</v>
      </c>
      <c r="D105" s="7" t="s">
        <v>448</v>
      </c>
      <c r="E105" s="7" t="s">
        <v>449</v>
      </c>
      <c r="F105" s="7" t="s">
        <v>449</v>
      </c>
      <c r="G105" s="7">
        <v>75</v>
      </c>
      <c r="H105" s="7">
        <v>75</v>
      </c>
      <c r="I105" s="26" t="s">
        <v>314</v>
      </c>
      <c r="J105" s="15" t="s">
        <v>66</v>
      </c>
    </row>
    <row r="106" spans="1:10" x14ac:dyDescent="0.25">
      <c r="A106" s="7" t="s">
        <v>417</v>
      </c>
      <c r="B106" s="7" t="s">
        <v>65</v>
      </c>
      <c r="C106" s="7">
        <v>17</v>
      </c>
      <c r="D106" s="7" t="s">
        <v>450</v>
      </c>
      <c r="E106" s="7" t="s">
        <v>451</v>
      </c>
      <c r="F106" s="7" t="s">
        <v>451</v>
      </c>
      <c r="G106" s="7">
        <v>320</v>
      </c>
      <c r="H106" s="7">
        <v>320</v>
      </c>
      <c r="I106" s="26" t="s">
        <v>314</v>
      </c>
      <c r="J106" s="15" t="s">
        <v>66</v>
      </c>
    </row>
    <row r="107" spans="1:10" x14ac:dyDescent="0.25">
      <c r="A107" s="7" t="s">
        <v>417</v>
      </c>
      <c r="B107" s="7" t="s">
        <v>65</v>
      </c>
      <c r="C107" s="7">
        <v>18</v>
      </c>
      <c r="D107" s="7" t="s">
        <v>452</v>
      </c>
      <c r="E107" s="7" t="s">
        <v>453</v>
      </c>
      <c r="F107" s="7" t="s">
        <v>453</v>
      </c>
      <c r="G107" s="7">
        <v>420</v>
      </c>
      <c r="H107" s="7">
        <v>420</v>
      </c>
      <c r="I107" s="26" t="s">
        <v>314</v>
      </c>
      <c r="J107" s="15" t="s">
        <v>66</v>
      </c>
    </row>
    <row r="108" spans="1:10" x14ac:dyDescent="0.25">
      <c r="A108" s="7" t="s">
        <v>417</v>
      </c>
      <c r="B108" s="7" t="s">
        <v>65</v>
      </c>
      <c r="C108" s="7">
        <v>19</v>
      </c>
      <c r="D108" s="7" t="s">
        <v>454</v>
      </c>
      <c r="E108" s="7" t="s">
        <v>455</v>
      </c>
      <c r="F108" s="7" t="s">
        <v>455</v>
      </c>
      <c r="G108" s="7">
        <v>320</v>
      </c>
      <c r="H108" s="7">
        <v>320</v>
      </c>
      <c r="I108" s="26" t="s">
        <v>314</v>
      </c>
      <c r="J108" s="15" t="s">
        <v>66</v>
      </c>
    </row>
    <row r="109" spans="1:10" x14ac:dyDescent="0.25">
      <c r="A109" s="7" t="s">
        <v>417</v>
      </c>
      <c r="B109" s="7" t="s">
        <v>65</v>
      </c>
      <c r="C109" s="7">
        <v>20</v>
      </c>
      <c r="D109" s="7" t="s">
        <v>456</v>
      </c>
      <c r="E109" s="7" t="s">
        <v>457</v>
      </c>
      <c r="F109" s="7" t="s">
        <v>457</v>
      </c>
      <c r="G109" s="7">
        <v>300</v>
      </c>
      <c r="H109" s="7">
        <v>300</v>
      </c>
      <c r="I109" s="26" t="s">
        <v>314</v>
      </c>
      <c r="J109" s="15" t="s">
        <v>66</v>
      </c>
    </row>
    <row r="110" spans="1:10" x14ac:dyDescent="0.25">
      <c r="A110" s="7" t="s">
        <v>417</v>
      </c>
      <c r="B110" s="7" t="s">
        <v>65</v>
      </c>
      <c r="C110" s="7">
        <v>21</v>
      </c>
      <c r="D110" s="7" t="s">
        <v>458</v>
      </c>
      <c r="E110" s="7" t="s">
        <v>459</v>
      </c>
      <c r="F110" s="7" t="s">
        <v>459</v>
      </c>
      <c r="G110" s="7">
        <v>95</v>
      </c>
      <c r="H110" s="7">
        <v>95</v>
      </c>
      <c r="I110" s="26" t="s">
        <v>314</v>
      </c>
      <c r="J110" s="15" t="s">
        <v>66</v>
      </c>
    </row>
    <row r="111" spans="1:10" x14ac:dyDescent="0.25">
      <c r="A111" s="7" t="s">
        <v>417</v>
      </c>
      <c r="B111" s="7" t="s">
        <v>65</v>
      </c>
      <c r="C111" s="7">
        <v>22</v>
      </c>
      <c r="D111" s="7" t="s">
        <v>460</v>
      </c>
      <c r="E111" s="7" t="s">
        <v>461</v>
      </c>
      <c r="F111" s="7" t="s">
        <v>461</v>
      </c>
      <c r="G111" s="7">
        <v>175</v>
      </c>
      <c r="H111" s="7">
        <v>175</v>
      </c>
      <c r="I111" s="26" t="s">
        <v>314</v>
      </c>
      <c r="J111" s="15" t="s">
        <v>66</v>
      </c>
    </row>
    <row r="112" spans="1:10" x14ac:dyDescent="0.25">
      <c r="A112" s="7" t="s">
        <v>417</v>
      </c>
      <c r="B112" s="7" t="s">
        <v>65</v>
      </c>
      <c r="C112" s="7">
        <v>23</v>
      </c>
      <c r="D112" s="7" t="s">
        <v>462</v>
      </c>
      <c r="E112" s="7" t="s">
        <v>463</v>
      </c>
      <c r="F112" s="7" t="s">
        <v>463</v>
      </c>
      <c r="G112" s="7">
        <v>65</v>
      </c>
      <c r="H112" s="7">
        <v>65</v>
      </c>
      <c r="I112" s="26" t="s">
        <v>314</v>
      </c>
      <c r="J112" s="15" t="s">
        <v>66</v>
      </c>
    </row>
    <row r="113" spans="1:10" x14ac:dyDescent="0.25">
      <c r="A113" s="7" t="s">
        <v>417</v>
      </c>
      <c r="B113" s="7" t="s">
        <v>65</v>
      </c>
      <c r="C113" s="7">
        <v>24</v>
      </c>
      <c r="D113" s="7" t="s">
        <v>464</v>
      </c>
      <c r="E113" s="7" t="s">
        <v>465</v>
      </c>
      <c r="F113" s="7" t="s">
        <v>465</v>
      </c>
      <c r="G113" s="7">
        <v>45</v>
      </c>
      <c r="H113" s="7">
        <v>45</v>
      </c>
      <c r="I113" s="26" t="s">
        <v>314</v>
      </c>
      <c r="J113" s="15" t="s">
        <v>66</v>
      </c>
    </row>
    <row r="114" spans="1:10" x14ac:dyDescent="0.25">
      <c r="A114" s="7" t="s">
        <v>417</v>
      </c>
      <c r="B114" s="7" t="s">
        <v>65</v>
      </c>
      <c r="C114" s="7">
        <v>25</v>
      </c>
      <c r="D114" s="7" t="s">
        <v>466</v>
      </c>
      <c r="E114" s="7" t="s">
        <v>467</v>
      </c>
      <c r="F114" s="7" t="s">
        <v>467</v>
      </c>
      <c r="G114" s="7">
        <v>15</v>
      </c>
      <c r="H114" s="7">
        <v>15</v>
      </c>
      <c r="I114" s="26" t="s">
        <v>314</v>
      </c>
      <c r="J114" s="15" t="s">
        <v>66</v>
      </c>
    </row>
    <row r="115" spans="1:10" x14ac:dyDescent="0.25">
      <c r="A115" s="7" t="s">
        <v>417</v>
      </c>
      <c r="B115" s="7" t="s">
        <v>65</v>
      </c>
      <c r="C115" s="7">
        <v>26</v>
      </c>
      <c r="D115" s="7" t="s">
        <v>468</v>
      </c>
      <c r="E115" s="7" t="s">
        <v>469</v>
      </c>
      <c r="F115" s="7" t="s">
        <v>469</v>
      </c>
      <c r="G115" s="7">
        <v>35</v>
      </c>
      <c r="H115" s="7">
        <v>35</v>
      </c>
      <c r="I115" s="26" t="s">
        <v>314</v>
      </c>
      <c r="J115" s="15" t="s">
        <v>66</v>
      </c>
    </row>
    <row r="116" spans="1:10" x14ac:dyDescent="0.25">
      <c r="A116" s="7" t="s">
        <v>417</v>
      </c>
      <c r="B116" s="7" t="s">
        <v>65</v>
      </c>
      <c r="C116" s="7">
        <v>27</v>
      </c>
      <c r="D116" s="7" t="s">
        <v>470</v>
      </c>
      <c r="E116" s="7" t="s">
        <v>471</v>
      </c>
      <c r="F116" s="7" t="s">
        <v>471</v>
      </c>
      <c r="G116" s="7">
        <v>105</v>
      </c>
      <c r="H116" s="7">
        <v>105</v>
      </c>
      <c r="I116" s="26" t="s">
        <v>314</v>
      </c>
      <c r="J116" s="15" t="s">
        <v>66</v>
      </c>
    </row>
    <row r="117" spans="1:10" x14ac:dyDescent="0.25">
      <c r="A117" s="7" t="s">
        <v>417</v>
      </c>
      <c r="B117" s="7" t="s">
        <v>65</v>
      </c>
      <c r="C117" s="7">
        <v>28</v>
      </c>
      <c r="D117" s="7" t="s">
        <v>472</v>
      </c>
      <c r="E117" s="7" t="s">
        <v>473</v>
      </c>
      <c r="F117" s="7" t="s">
        <v>473</v>
      </c>
      <c r="G117" s="7">
        <v>225</v>
      </c>
      <c r="H117" s="7">
        <v>225</v>
      </c>
      <c r="I117" s="26" t="s">
        <v>314</v>
      </c>
      <c r="J117" s="15" t="s">
        <v>66</v>
      </c>
    </row>
    <row r="118" spans="1:10" x14ac:dyDescent="0.25">
      <c r="A118" s="7" t="s">
        <v>417</v>
      </c>
      <c r="B118" s="7" t="s">
        <v>65</v>
      </c>
      <c r="C118" s="7">
        <v>29</v>
      </c>
      <c r="D118" s="7" t="s">
        <v>474</v>
      </c>
      <c r="E118" s="7" t="s">
        <v>475</v>
      </c>
      <c r="F118" s="7" t="s">
        <v>475</v>
      </c>
      <c r="G118" s="7">
        <v>380</v>
      </c>
      <c r="H118" s="7">
        <v>380</v>
      </c>
      <c r="I118" s="26" t="s">
        <v>314</v>
      </c>
      <c r="J118" s="15" t="s">
        <v>66</v>
      </c>
    </row>
    <row r="119" spans="1:10" x14ac:dyDescent="0.25">
      <c r="A119" s="7" t="s">
        <v>417</v>
      </c>
      <c r="B119" s="7" t="s">
        <v>65</v>
      </c>
      <c r="C119" s="7">
        <v>30</v>
      </c>
      <c r="D119" s="7" t="s">
        <v>476</v>
      </c>
      <c r="E119" s="7" t="s">
        <v>477</v>
      </c>
      <c r="F119" s="7" t="s">
        <v>477</v>
      </c>
      <c r="G119" s="7">
        <v>235</v>
      </c>
      <c r="H119" s="7">
        <v>235</v>
      </c>
      <c r="I119" s="26" t="s">
        <v>314</v>
      </c>
      <c r="J119" s="15" t="s">
        <v>66</v>
      </c>
    </row>
    <row r="120" spans="1:10" x14ac:dyDescent="0.25">
      <c r="A120" s="7" t="s">
        <v>417</v>
      </c>
      <c r="B120" s="7" t="s">
        <v>65</v>
      </c>
      <c r="C120" s="7">
        <v>31</v>
      </c>
      <c r="D120" s="7" t="s">
        <v>478</v>
      </c>
      <c r="E120" s="7" t="s">
        <v>479</v>
      </c>
      <c r="F120" s="7" t="s">
        <v>479</v>
      </c>
      <c r="G120" s="7">
        <v>85</v>
      </c>
      <c r="H120" s="7">
        <v>85</v>
      </c>
      <c r="I120" s="26" t="s">
        <v>314</v>
      </c>
      <c r="J120" s="15" t="s">
        <v>66</v>
      </c>
    </row>
    <row r="121" spans="1:10" x14ac:dyDescent="0.25">
      <c r="A121" s="7" t="s">
        <v>417</v>
      </c>
      <c r="B121" s="7" t="s">
        <v>65</v>
      </c>
      <c r="C121" s="7">
        <v>32</v>
      </c>
      <c r="D121" s="7" t="s">
        <v>319</v>
      </c>
      <c r="E121" s="7" t="s">
        <v>480</v>
      </c>
      <c r="F121" s="7" t="s">
        <v>480</v>
      </c>
      <c r="G121" s="7">
        <v>2</v>
      </c>
      <c r="H121" s="7">
        <v>2</v>
      </c>
      <c r="I121" s="26" t="s">
        <v>314</v>
      </c>
      <c r="J121" s="15" t="s">
        <v>66</v>
      </c>
    </row>
    <row r="122" spans="1:10" x14ac:dyDescent="0.25">
      <c r="A122" s="7" t="s">
        <v>417</v>
      </c>
      <c r="B122" s="7" t="s">
        <v>65</v>
      </c>
      <c r="C122" s="7">
        <v>33</v>
      </c>
      <c r="D122" s="7" t="s">
        <v>481</v>
      </c>
      <c r="E122" s="7" t="s">
        <v>482</v>
      </c>
      <c r="F122" s="7" t="s">
        <v>482</v>
      </c>
      <c r="G122" s="7">
        <v>25</v>
      </c>
      <c r="H122" s="7">
        <v>25</v>
      </c>
      <c r="I122" s="26" t="s">
        <v>314</v>
      </c>
      <c r="J122" s="15" t="s">
        <v>66</v>
      </c>
    </row>
    <row r="123" spans="1:10" x14ac:dyDescent="0.25">
      <c r="A123" s="7" t="s">
        <v>417</v>
      </c>
      <c r="B123" s="7" t="s">
        <v>65</v>
      </c>
      <c r="C123" s="7">
        <v>34</v>
      </c>
      <c r="D123" s="7" t="s">
        <v>483</v>
      </c>
      <c r="E123" s="7" t="s">
        <v>484</v>
      </c>
      <c r="F123" s="7" t="s">
        <v>484</v>
      </c>
      <c r="G123" s="7">
        <v>45</v>
      </c>
      <c r="H123" s="7">
        <v>45</v>
      </c>
      <c r="I123" s="26" t="s">
        <v>314</v>
      </c>
      <c r="J123" s="15" t="s">
        <v>66</v>
      </c>
    </row>
    <row r="124" spans="1:10" x14ac:dyDescent="0.25">
      <c r="A124" s="7" t="s">
        <v>417</v>
      </c>
      <c r="B124" s="7" t="s">
        <v>65</v>
      </c>
      <c r="C124" s="7">
        <v>35</v>
      </c>
      <c r="D124" s="7" t="s">
        <v>485</v>
      </c>
      <c r="E124" s="7" t="s">
        <v>486</v>
      </c>
      <c r="F124" s="7" t="s">
        <v>486</v>
      </c>
      <c r="G124" s="7">
        <v>45</v>
      </c>
      <c r="H124" s="7">
        <v>45</v>
      </c>
      <c r="I124" s="26" t="s">
        <v>314</v>
      </c>
      <c r="J124" s="15" t="s">
        <v>66</v>
      </c>
    </row>
    <row r="125" spans="1:10" x14ac:dyDescent="0.25">
      <c r="A125" s="7" t="s">
        <v>417</v>
      </c>
      <c r="B125" s="7" t="s">
        <v>65</v>
      </c>
      <c r="C125" s="7">
        <v>36</v>
      </c>
      <c r="D125" s="7" t="s">
        <v>487</v>
      </c>
      <c r="E125" s="7" t="s">
        <v>488</v>
      </c>
      <c r="F125" s="7" t="s">
        <v>488</v>
      </c>
      <c r="G125" s="7">
        <v>205</v>
      </c>
      <c r="H125" s="7">
        <v>205</v>
      </c>
      <c r="I125" s="26" t="s">
        <v>314</v>
      </c>
      <c r="J125" s="15" t="s">
        <v>66</v>
      </c>
    </row>
    <row r="126" spans="1:10" x14ac:dyDescent="0.25">
      <c r="A126" s="7" t="s">
        <v>417</v>
      </c>
      <c r="B126" s="7" t="s">
        <v>65</v>
      </c>
      <c r="C126" s="7">
        <v>37</v>
      </c>
      <c r="D126" s="7" t="s">
        <v>489</v>
      </c>
      <c r="E126" s="7" t="s">
        <v>490</v>
      </c>
      <c r="F126" s="7" t="s">
        <v>490</v>
      </c>
      <c r="G126" s="7">
        <v>280</v>
      </c>
      <c r="H126" s="7">
        <v>280</v>
      </c>
      <c r="I126" s="26" t="s">
        <v>314</v>
      </c>
      <c r="J126" s="15" t="s">
        <v>66</v>
      </c>
    </row>
    <row r="127" spans="1:10" x14ac:dyDescent="0.25">
      <c r="A127" s="7" t="s">
        <v>417</v>
      </c>
      <c r="B127" s="7" t="s">
        <v>65</v>
      </c>
      <c r="C127" s="7">
        <v>38</v>
      </c>
      <c r="D127" s="7" t="s">
        <v>491</v>
      </c>
      <c r="E127" s="7" t="s">
        <v>492</v>
      </c>
      <c r="F127" s="7" t="s">
        <v>492</v>
      </c>
      <c r="G127" s="7">
        <v>105</v>
      </c>
      <c r="H127" s="7">
        <v>105</v>
      </c>
      <c r="I127" s="26" t="s">
        <v>314</v>
      </c>
      <c r="J127" s="15" t="s">
        <v>66</v>
      </c>
    </row>
    <row r="128" spans="1:10" x14ac:dyDescent="0.25">
      <c r="A128" s="7" t="s">
        <v>417</v>
      </c>
      <c r="B128" s="7" t="s">
        <v>65</v>
      </c>
      <c r="C128" s="7">
        <v>39</v>
      </c>
      <c r="D128" s="7" t="s">
        <v>493</v>
      </c>
      <c r="E128" s="7" t="s">
        <v>494</v>
      </c>
      <c r="F128" s="7" t="s">
        <v>494</v>
      </c>
      <c r="G128" s="7">
        <v>195</v>
      </c>
      <c r="H128" s="7">
        <v>195</v>
      </c>
      <c r="I128" s="26" t="s">
        <v>314</v>
      </c>
      <c r="J128" s="15" t="s">
        <v>66</v>
      </c>
    </row>
    <row r="129" spans="1:10" x14ac:dyDescent="0.25">
      <c r="A129" s="7" t="s">
        <v>417</v>
      </c>
      <c r="B129" s="7" t="s">
        <v>65</v>
      </c>
      <c r="C129" s="7">
        <v>40</v>
      </c>
      <c r="D129" s="7" t="s">
        <v>495</v>
      </c>
      <c r="E129" s="7" t="s">
        <v>496</v>
      </c>
      <c r="F129" s="7" t="s">
        <v>496</v>
      </c>
      <c r="G129" s="7">
        <v>235</v>
      </c>
      <c r="H129" s="7">
        <v>235</v>
      </c>
      <c r="I129" s="26" t="s">
        <v>314</v>
      </c>
      <c r="J129" s="15" t="s">
        <v>66</v>
      </c>
    </row>
    <row r="130" spans="1:10" x14ac:dyDescent="0.25">
      <c r="A130" s="7" t="s">
        <v>417</v>
      </c>
      <c r="B130" s="7" t="s">
        <v>65</v>
      </c>
      <c r="C130" s="7">
        <v>41</v>
      </c>
      <c r="D130" s="7" t="s">
        <v>497</v>
      </c>
      <c r="E130" s="7" t="s">
        <v>498</v>
      </c>
      <c r="F130" s="7" t="s">
        <v>498</v>
      </c>
      <c r="G130" s="7">
        <v>95</v>
      </c>
      <c r="H130" s="7">
        <v>95</v>
      </c>
      <c r="I130" s="26" t="s">
        <v>314</v>
      </c>
      <c r="J130" s="15" t="s">
        <v>66</v>
      </c>
    </row>
    <row r="131" spans="1:10" x14ac:dyDescent="0.25">
      <c r="A131" s="7" t="s">
        <v>417</v>
      </c>
      <c r="B131" s="7" t="s">
        <v>65</v>
      </c>
      <c r="C131" s="7">
        <v>42</v>
      </c>
      <c r="D131" s="7" t="s">
        <v>499</v>
      </c>
      <c r="E131" s="7" t="s">
        <v>500</v>
      </c>
      <c r="F131" s="7" t="s">
        <v>500</v>
      </c>
      <c r="G131" s="7">
        <v>25</v>
      </c>
      <c r="H131" s="7">
        <v>25</v>
      </c>
      <c r="I131" s="26" t="s">
        <v>314</v>
      </c>
      <c r="J131" s="15" t="s">
        <v>66</v>
      </c>
    </row>
    <row r="132" spans="1:10" x14ac:dyDescent="0.25">
      <c r="A132" s="7" t="s">
        <v>501</v>
      </c>
      <c r="B132" s="7" t="s">
        <v>65</v>
      </c>
      <c r="C132" s="7">
        <v>1</v>
      </c>
      <c r="D132" s="7" t="s">
        <v>241</v>
      </c>
      <c r="E132" s="7" t="s">
        <v>502</v>
      </c>
      <c r="F132" s="7" t="s">
        <v>502</v>
      </c>
      <c r="G132" s="7">
        <v>1900</v>
      </c>
      <c r="H132" s="7">
        <v>1900</v>
      </c>
      <c r="I132" s="26" t="s">
        <v>314</v>
      </c>
      <c r="J132" s="15" t="s">
        <v>66</v>
      </c>
    </row>
    <row r="133" spans="1:10" x14ac:dyDescent="0.25">
      <c r="A133" s="7" t="s">
        <v>501</v>
      </c>
      <c r="B133" s="7" t="s">
        <v>65</v>
      </c>
      <c r="C133" s="7">
        <v>2</v>
      </c>
      <c r="D133" s="7" t="s">
        <v>503</v>
      </c>
      <c r="E133" s="7" t="s">
        <v>504</v>
      </c>
      <c r="F133" s="7" t="s">
        <v>504</v>
      </c>
      <c r="G133" s="7">
        <v>125</v>
      </c>
      <c r="H133" s="7">
        <v>125</v>
      </c>
      <c r="I133" s="26" t="s">
        <v>314</v>
      </c>
      <c r="J133" s="15" t="s">
        <v>66</v>
      </c>
    </row>
    <row r="134" spans="1:10" x14ac:dyDescent="0.25">
      <c r="A134" s="7" t="s">
        <v>501</v>
      </c>
      <c r="B134" s="7" t="s">
        <v>65</v>
      </c>
      <c r="C134" s="7">
        <v>3</v>
      </c>
      <c r="D134" s="7" t="s">
        <v>505</v>
      </c>
      <c r="E134" s="7" t="s">
        <v>506</v>
      </c>
      <c r="F134" s="7" t="s">
        <v>506</v>
      </c>
      <c r="G134" s="7">
        <v>195</v>
      </c>
      <c r="H134" s="7">
        <v>195</v>
      </c>
      <c r="I134" s="26" t="s">
        <v>314</v>
      </c>
      <c r="J134" s="15" t="s">
        <v>66</v>
      </c>
    </row>
    <row r="135" spans="1:10" x14ac:dyDescent="0.25">
      <c r="A135" s="7" t="s">
        <v>501</v>
      </c>
      <c r="B135" s="7" t="s">
        <v>65</v>
      </c>
      <c r="C135" s="7">
        <v>4</v>
      </c>
      <c r="D135" s="7" t="s">
        <v>507</v>
      </c>
      <c r="E135" s="7" t="s">
        <v>508</v>
      </c>
      <c r="F135" s="7" t="s">
        <v>508</v>
      </c>
      <c r="G135" s="7">
        <v>195</v>
      </c>
      <c r="H135" s="7">
        <v>195</v>
      </c>
      <c r="I135" s="26" t="s">
        <v>314</v>
      </c>
      <c r="J135" s="15" t="s">
        <v>66</v>
      </c>
    </row>
    <row r="136" spans="1:10" x14ac:dyDescent="0.25">
      <c r="A136" s="7" t="s">
        <v>501</v>
      </c>
      <c r="B136" s="7" t="s">
        <v>65</v>
      </c>
      <c r="C136" s="7">
        <v>5</v>
      </c>
      <c r="D136" s="7" t="s">
        <v>509</v>
      </c>
      <c r="E136" s="7" t="s">
        <v>510</v>
      </c>
      <c r="F136" s="7" t="s">
        <v>510</v>
      </c>
      <c r="G136" s="7">
        <v>1100</v>
      </c>
      <c r="H136" s="7">
        <v>1100</v>
      </c>
      <c r="I136" s="26" t="s">
        <v>314</v>
      </c>
      <c r="J136" s="15" t="s">
        <v>66</v>
      </c>
    </row>
    <row r="137" spans="1:10" x14ac:dyDescent="0.25">
      <c r="A137" s="7" t="s">
        <v>501</v>
      </c>
      <c r="B137" s="7" t="s">
        <v>65</v>
      </c>
      <c r="C137" s="7">
        <v>6</v>
      </c>
      <c r="D137" s="7" t="s">
        <v>511</v>
      </c>
      <c r="E137" s="7" t="s">
        <v>512</v>
      </c>
      <c r="F137" s="7" t="s">
        <v>512</v>
      </c>
      <c r="G137" s="7">
        <v>275</v>
      </c>
      <c r="H137" s="7">
        <v>275</v>
      </c>
      <c r="I137" s="26" t="s">
        <v>314</v>
      </c>
      <c r="J137" s="15" t="s">
        <v>66</v>
      </c>
    </row>
    <row r="138" spans="1:10" x14ac:dyDescent="0.25">
      <c r="A138" s="7" t="s">
        <v>501</v>
      </c>
      <c r="B138" s="7" t="s">
        <v>65</v>
      </c>
      <c r="C138" s="7">
        <v>7</v>
      </c>
      <c r="D138" s="7" t="s">
        <v>513</v>
      </c>
      <c r="E138" s="7" t="s">
        <v>514</v>
      </c>
      <c r="F138" s="7" t="s">
        <v>514</v>
      </c>
      <c r="G138" s="7">
        <v>2100</v>
      </c>
      <c r="H138" s="7">
        <v>2100</v>
      </c>
      <c r="I138" s="26" t="s">
        <v>314</v>
      </c>
      <c r="J138" s="15" t="s">
        <v>66</v>
      </c>
    </row>
    <row r="139" spans="1:10" x14ac:dyDescent="0.25">
      <c r="A139" s="7" t="s">
        <v>501</v>
      </c>
      <c r="B139" s="7" t="s">
        <v>65</v>
      </c>
      <c r="C139" s="7">
        <v>8</v>
      </c>
      <c r="D139" s="7" t="s">
        <v>515</v>
      </c>
      <c r="E139" s="7" t="s">
        <v>516</v>
      </c>
      <c r="F139" s="7" t="s">
        <v>516</v>
      </c>
      <c r="G139" s="7">
        <v>145</v>
      </c>
      <c r="H139" s="7">
        <v>145</v>
      </c>
      <c r="I139" s="26" t="s">
        <v>314</v>
      </c>
      <c r="J139" s="15" t="s">
        <v>66</v>
      </c>
    </row>
    <row r="140" spans="1:10" x14ac:dyDescent="0.25">
      <c r="A140" s="7" t="s">
        <v>108</v>
      </c>
      <c r="B140" s="7" t="s">
        <v>65</v>
      </c>
      <c r="C140" s="7">
        <v>1</v>
      </c>
      <c r="D140" s="7" t="s">
        <v>517</v>
      </c>
      <c r="E140" s="7" t="s">
        <v>110</v>
      </c>
      <c r="F140" s="7" t="s">
        <v>111</v>
      </c>
      <c r="G140" s="7">
        <v>1780</v>
      </c>
      <c r="H140" s="7">
        <v>1780</v>
      </c>
      <c r="I140" s="20" t="s">
        <v>320</v>
      </c>
      <c r="J140" s="15" t="s">
        <v>66</v>
      </c>
    </row>
    <row r="141" spans="1:10" x14ac:dyDescent="0.25">
      <c r="A141" s="7" t="s">
        <v>115</v>
      </c>
      <c r="B141" s="7" t="s">
        <v>65</v>
      </c>
      <c r="C141" s="7">
        <v>1</v>
      </c>
      <c r="D141" s="7" t="s">
        <v>232</v>
      </c>
      <c r="E141" s="7" t="s">
        <v>117</v>
      </c>
      <c r="F141" s="7" t="s">
        <v>118</v>
      </c>
      <c r="G141" s="7">
        <v>70</v>
      </c>
      <c r="H141" s="7">
        <v>70</v>
      </c>
      <c r="I141" s="20" t="s">
        <v>320</v>
      </c>
      <c r="J141" s="15" t="s">
        <v>66</v>
      </c>
    </row>
    <row r="142" spans="1:10" x14ac:dyDescent="0.25">
      <c r="A142" s="7" t="s">
        <v>277</v>
      </c>
      <c r="B142" s="7" t="s">
        <v>65</v>
      </c>
      <c r="C142" s="7">
        <v>1</v>
      </c>
      <c r="D142" s="7" t="s">
        <v>241</v>
      </c>
      <c r="E142" s="7" t="s">
        <v>278</v>
      </c>
      <c r="F142" s="7" t="s">
        <v>278</v>
      </c>
      <c r="G142" s="7">
        <v>300</v>
      </c>
      <c r="H142" s="7">
        <v>300</v>
      </c>
      <c r="I142" s="26" t="s">
        <v>314</v>
      </c>
      <c r="J142" s="15" t="s">
        <v>66</v>
      </c>
    </row>
    <row r="143" spans="1:10" x14ac:dyDescent="0.25">
      <c r="A143" s="7" t="s">
        <v>277</v>
      </c>
      <c r="B143" s="7" t="s">
        <v>65</v>
      </c>
      <c r="C143" s="7">
        <v>2</v>
      </c>
      <c r="D143" s="7" t="s">
        <v>279</v>
      </c>
      <c r="E143" s="7" t="s">
        <v>280</v>
      </c>
      <c r="F143" s="7" t="s">
        <v>280</v>
      </c>
      <c r="G143" s="7">
        <v>50</v>
      </c>
      <c r="H143" s="7">
        <v>50</v>
      </c>
      <c r="I143" s="26" t="s">
        <v>314</v>
      </c>
      <c r="J143" s="15" t="s">
        <v>66</v>
      </c>
    </row>
    <row r="144" spans="1:10" x14ac:dyDescent="0.25">
      <c r="A144" s="7" t="s">
        <v>277</v>
      </c>
      <c r="B144" s="7" t="s">
        <v>65</v>
      </c>
      <c r="C144" s="7">
        <v>3</v>
      </c>
      <c r="D144" s="7" t="s">
        <v>281</v>
      </c>
      <c r="E144" s="7" t="s">
        <v>282</v>
      </c>
      <c r="F144" s="7" t="s">
        <v>282</v>
      </c>
      <c r="G144" s="7">
        <v>50</v>
      </c>
      <c r="H144" s="7">
        <v>50</v>
      </c>
      <c r="I144" s="26" t="s">
        <v>314</v>
      </c>
      <c r="J144" s="15" t="s">
        <v>66</v>
      </c>
    </row>
    <row r="145" spans="1:10" x14ac:dyDescent="0.25">
      <c r="A145" s="7" t="s">
        <v>518</v>
      </c>
      <c r="B145" s="7" t="s">
        <v>65</v>
      </c>
      <c r="C145" s="7">
        <v>1</v>
      </c>
      <c r="D145" s="7" t="s">
        <v>519</v>
      </c>
      <c r="E145" s="7" t="s">
        <v>520</v>
      </c>
      <c r="F145" s="7" t="s">
        <v>520</v>
      </c>
      <c r="G145" s="7">
        <v>42</v>
      </c>
      <c r="H145" s="7">
        <v>42</v>
      </c>
      <c r="I145" s="26" t="s">
        <v>314</v>
      </c>
      <c r="J145" s="15" t="s">
        <v>66</v>
      </c>
    </row>
    <row r="146" spans="1:10" x14ac:dyDescent="0.25">
      <c r="A146" s="7" t="s">
        <v>518</v>
      </c>
      <c r="B146" s="7" t="s">
        <v>65</v>
      </c>
      <c r="C146" s="7">
        <v>2</v>
      </c>
      <c r="D146" s="7" t="s">
        <v>521</v>
      </c>
      <c r="E146" s="7" t="s">
        <v>522</v>
      </c>
      <c r="F146" s="7" t="s">
        <v>522</v>
      </c>
      <c r="G146" s="7">
        <v>70</v>
      </c>
      <c r="H146" s="7">
        <v>70</v>
      </c>
      <c r="I146" s="26" t="s">
        <v>314</v>
      </c>
      <c r="J146" s="15" t="s">
        <v>66</v>
      </c>
    </row>
    <row r="147" spans="1:10" x14ac:dyDescent="0.25">
      <c r="A147" s="7" t="s">
        <v>518</v>
      </c>
      <c r="B147" s="7" t="s">
        <v>65</v>
      </c>
      <c r="C147" s="7">
        <v>3</v>
      </c>
      <c r="D147" s="7" t="s">
        <v>523</v>
      </c>
      <c r="E147" s="7" t="s">
        <v>524</v>
      </c>
      <c r="F147" s="7" t="s">
        <v>524</v>
      </c>
      <c r="G147" s="7">
        <v>18</v>
      </c>
      <c r="H147" s="7">
        <v>18</v>
      </c>
      <c r="I147" s="26" t="s">
        <v>314</v>
      </c>
      <c r="J147" s="15" t="s">
        <v>66</v>
      </c>
    </row>
    <row r="148" spans="1:10" x14ac:dyDescent="0.25">
      <c r="A148" s="7" t="s">
        <v>518</v>
      </c>
      <c r="B148" s="7" t="s">
        <v>65</v>
      </c>
      <c r="C148" s="7">
        <v>4</v>
      </c>
      <c r="D148" s="7" t="s">
        <v>525</v>
      </c>
      <c r="E148" s="7" t="s">
        <v>526</v>
      </c>
      <c r="F148" s="7" t="s">
        <v>526</v>
      </c>
      <c r="G148" s="7">
        <v>2.3</v>
      </c>
      <c r="H148" s="7">
        <v>2.3</v>
      </c>
      <c r="I148" s="26" t="s">
        <v>314</v>
      </c>
      <c r="J148" s="15" t="s">
        <v>66</v>
      </c>
    </row>
    <row r="149" spans="1:10" x14ac:dyDescent="0.25">
      <c r="A149" s="7" t="s">
        <v>518</v>
      </c>
      <c r="B149" s="7" t="s">
        <v>65</v>
      </c>
      <c r="C149" s="7">
        <v>5</v>
      </c>
      <c r="D149" s="7" t="s">
        <v>527</v>
      </c>
      <c r="E149" s="7" t="s">
        <v>528</v>
      </c>
      <c r="F149" s="7" t="s">
        <v>528</v>
      </c>
      <c r="G149" s="7">
        <v>21</v>
      </c>
      <c r="H149" s="7">
        <v>21</v>
      </c>
      <c r="I149" s="26" t="s">
        <v>314</v>
      </c>
      <c r="J149" s="15" t="s">
        <v>66</v>
      </c>
    </row>
    <row r="150" spans="1:10" x14ac:dyDescent="0.25">
      <c r="A150" s="7" t="s">
        <v>518</v>
      </c>
      <c r="B150" s="7" t="s">
        <v>65</v>
      </c>
      <c r="C150" s="7">
        <v>6</v>
      </c>
      <c r="D150" s="7" t="s">
        <v>529</v>
      </c>
      <c r="E150" s="7" t="s">
        <v>530</v>
      </c>
      <c r="F150" s="7" t="s">
        <v>530</v>
      </c>
      <c r="G150" s="7">
        <v>18</v>
      </c>
      <c r="H150" s="7">
        <v>18</v>
      </c>
      <c r="I150" s="26" t="s">
        <v>314</v>
      </c>
      <c r="J150" s="15" t="s">
        <v>66</v>
      </c>
    </row>
    <row r="151" spans="1:10" x14ac:dyDescent="0.25">
      <c r="A151" s="7" t="s">
        <v>121</v>
      </c>
      <c r="B151" s="7" t="s">
        <v>65</v>
      </c>
      <c r="C151" s="7">
        <v>1</v>
      </c>
      <c r="D151" s="7" t="s">
        <v>531</v>
      </c>
      <c r="E151" s="7" t="s">
        <v>532</v>
      </c>
      <c r="F151" s="7" t="s">
        <v>532</v>
      </c>
      <c r="G151" s="7">
        <v>430</v>
      </c>
      <c r="H151" s="7">
        <v>430</v>
      </c>
      <c r="I151" s="26" t="s">
        <v>314</v>
      </c>
      <c r="J151" s="15" t="s">
        <v>66</v>
      </c>
    </row>
    <row r="152" spans="1:10" x14ac:dyDescent="0.25">
      <c r="A152" s="7" t="s">
        <v>121</v>
      </c>
      <c r="B152" s="7" t="s">
        <v>65</v>
      </c>
      <c r="C152" s="7">
        <v>2</v>
      </c>
      <c r="D152" s="7" t="s">
        <v>533</v>
      </c>
      <c r="E152" s="7" t="s">
        <v>534</v>
      </c>
      <c r="F152" s="7" t="s">
        <v>534</v>
      </c>
      <c r="G152" s="7">
        <v>1200</v>
      </c>
      <c r="H152" s="7">
        <v>1200</v>
      </c>
      <c r="I152" s="26" t="s">
        <v>314</v>
      </c>
      <c r="J152" s="15" t="s">
        <v>66</v>
      </c>
    </row>
    <row r="153" spans="1:10" x14ac:dyDescent="0.25">
      <c r="A153" s="7" t="s">
        <v>121</v>
      </c>
      <c r="B153" s="7" t="s">
        <v>65</v>
      </c>
      <c r="C153" s="7">
        <v>3</v>
      </c>
      <c r="D153" s="7" t="s">
        <v>535</v>
      </c>
      <c r="E153" s="7" t="s">
        <v>536</v>
      </c>
      <c r="F153" s="7" t="s">
        <v>536</v>
      </c>
      <c r="G153" s="7">
        <v>100</v>
      </c>
      <c r="H153" s="7">
        <v>100</v>
      </c>
      <c r="I153" s="26" t="s">
        <v>314</v>
      </c>
      <c r="J153" s="15" t="s">
        <v>66</v>
      </c>
    </row>
    <row r="154" spans="1:10" x14ac:dyDescent="0.25">
      <c r="A154" s="7" t="s">
        <v>121</v>
      </c>
      <c r="B154" s="7" t="s">
        <v>65</v>
      </c>
      <c r="C154" s="7">
        <v>4</v>
      </c>
      <c r="D154" s="7" t="s">
        <v>537</v>
      </c>
      <c r="E154" s="7" t="s">
        <v>538</v>
      </c>
      <c r="F154" s="7" t="s">
        <v>538</v>
      </c>
      <c r="G154" s="7">
        <v>350</v>
      </c>
      <c r="H154" s="7">
        <v>350</v>
      </c>
      <c r="I154" s="26" t="s">
        <v>314</v>
      </c>
      <c r="J154" s="15" t="s">
        <v>66</v>
      </c>
    </row>
    <row r="155" spans="1:10" x14ac:dyDescent="0.25">
      <c r="A155" s="7" t="s">
        <v>121</v>
      </c>
      <c r="B155" s="7" t="s">
        <v>65</v>
      </c>
      <c r="C155" s="7">
        <v>5</v>
      </c>
      <c r="D155" s="7" t="s">
        <v>539</v>
      </c>
      <c r="E155" s="7" t="s">
        <v>540</v>
      </c>
      <c r="F155" s="7" t="s">
        <v>540</v>
      </c>
      <c r="G155" s="7">
        <v>65</v>
      </c>
      <c r="H155" s="7">
        <v>65</v>
      </c>
      <c r="I155" s="26" t="s">
        <v>314</v>
      </c>
      <c r="J155" s="15" t="s">
        <v>66</v>
      </c>
    </row>
    <row r="156" spans="1:10" x14ac:dyDescent="0.25">
      <c r="A156" s="7" t="s">
        <v>121</v>
      </c>
      <c r="B156" s="7" t="s">
        <v>65</v>
      </c>
      <c r="C156" s="7">
        <v>6</v>
      </c>
      <c r="D156" s="7" t="s">
        <v>541</v>
      </c>
      <c r="E156" s="7" t="s">
        <v>542</v>
      </c>
      <c r="F156" s="7" t="s">
        <v>542</v>
      </c>
      <c r="G156" s="7">
        <v>35</v>
      </c>
      <c r="H156" s="7">
        <v>35</v>
      </c>
      <c r="I156" s="26" t="s">
        <v>314</v>
      </c>
      <c r="J156" s="15" t="s">
        <v>66</v>
      </c>
    </row>
    <row r="157" spans="1:10" x14ac:dyDescent="0.25">
      <c r="A157" s="7" t="s">
        <v>121</v>
      </c>
      <c r="B157" s="7" t="s">
        <v>65</v>
      </c>
      <c r="C157" s="7">
        <v>7</v>
      </c>
      <c r="D157" s="7" t="s">
        <v>543</v>
      </c>
      <c r="E157" s="7" t="s">
        <v>544</v>
      </c>
      <c r="F157" s="7" t="s">
        <v>544</v>
      </c>
      <c r="G157" s="7">
        <v>35</v>
      </c>
      <c r="H157" s="7">
        <v>35</v>
      </c>
      <c r="I157" s="26" t="s">
        <v>314</v>
      </c>
      <c r="J157" s="15" t="s">
        <v>66</v>
      </c>
    </row>
    <row r="158" spans="1:10" x14ac:dyDescent="0.25">
      <c r="A158" s="7" t="s">
        <v>121</v>
      </c>
      <c r="B158" s="7" t="s">
        <v>65</v>
      </c>
      <c r="C158" s="7">
        <v>8</v>
      </c>
      <c r="D158" s="7" t="s">
        <v>545</v>
      </c>
      <c r="E158" s="7" t="s">
        <v>546</v>
      </c>
      <c r="F158" s="7" t="s">
        <v>546</v>
      </c>
      <c r="G158" s="7">
        <v>3</v>
      </c>
      <c r="H158" s="7">
        <v>3</v>
      </c>
      <c r="I158" s="26" t="s">
        <v>314</v>
      </c>
      <c r="J158" s="15" t="s">
        <v>66</v>
      </c>
    </row>
    <row r="159" spans="1:10" x14ac:dyDescent="0.25">
      <c r="A159" s="7" t="s">
        <v>121</v>
      </c>
      <c r="B159" s="7" t="s">
        <v>65</v>
      </c>
      <c r="C159" s="7">
        <v>9</v>
      </c>
      <c r="D159" s="7" t="s">
        <v>547</v>
      </c>
      <c r="E159" s="7" t="s">
        <v>548</v>
      </c>
      <c r="F159" s="7" t="s">
        <v>548</v>
      </c>
      <c r="G159" s="7">
        <v>350</v>
      </c>
      <c r="H159" s="7">
        <v>350</v>
      </c>
      <c r="I159" s="26" t="s">
        <v>314</v>
      </c>
      <c r="J159" s="15" t="s">
        <v>66</v>
      </c>
    </row>
    <row r="160" spans="1:10" x14ac:dyDescent="0.25">
      <c r="A160" s="7" t="s">
        <v>121</v>
      </c>
      <c r="B160" s="7" t="s">
        <v>65</v>
      </c>
      <c r="C160" s="7">
        <v>10</v>
      </c>
      <c r="D160" s="7" t="s">
        <v>319</v>
      </c>
      <c r="E160" s="7" t="s">
        <v>549</v>
      </c>
      <c r="F160" s="7" t="s">
        <v>549</v>
      </c>
      <c r="G160" s="7">
        <v>4</v>
      </c>
      <c r="H160" s="7">
        <v>4</v>
      </c>
      <c r="I160" s="26" t="s">
        <v>314</v>
      </c>
      <c r="J160" s="15" t="s">
        <v>66</v>
      </c>
    </row>
    <row r="161" spans="1:10" x14ac:dyDescent="0.25">
      <c r="A161" s="7" t="s">
        <v>121</v>
      </c>
      <c r="B161" s="7" t="s">
        <v>65</v>
      </c>
      <c r="C161" s="7">
        <v>11</v>
      </c>
      <c r="D161" s="7" t="s">
        <v>550</v>
      </c>
      <c r="E161" s="7" t="s">
        <v>551</v>
      </c>
      <c r="F161" s="7" t="s">
        <v>551</v>
      </c>
      <c r="G161" s="7">
        <v>20</v>
      </c>
      <c r="H161" s="7">
        <v>20</v>
      </c>
      <c r="I161" s="26" t="s">
        <v>314</v>
      </c>
      <c r="J161" s="15" t="s">
        <v>66</v>
      </c>
    </row>
    <row r="162" spans="1:10" x14ac:dyDescent="0.25">
      <c r="A162" s="7" t="s">
        <v>121</v>
      </c>
      <c r="B162" s="7" t="s">
        <v>65</v>
      </c>
      <c r="C162" s="7">
        <v>12</v>
      </c>
      <c r="D162" s="7" t="s">
        <v>552</v>
      </c>
      <c r="E162" s="7" t="s">
        <v>553</v>
      </c>
      <c r="F162" s="7" t="s">
        <v>553</v>
      </c>
      <c r="G162" s="7">
        <v>65</v>
      </c>
      <c r="H162" s="7">
        <v>65</v>
      </c>
      <c r="I162" s="26" t="s">
        <v>314</v>
      </c>
      <c r="J162" s="15" t="s">
        <v>66</v>
      </c>
    </row>
    <row r="163" spans="1:10" x14ac:dyDescent="0.25">
      <c r="A163" s="7" t="s">
        <v>121</v>
      </c>
      <c r="B163" s="7" t="s">
        <v>65</v>
      </c>
      <c r="C163" s="7">
        <v>13</v>
      </c>
      <c r="D163" s="7" t="s">
        <v>554</v>
      </c>
      <c r="E163" s="7" t="s">
        <v>555</v>
      </c>
      <c r="F163" s="7" t="s">
        <v>555</v>
      </c>
      <c r="G163" s="7">
        <v>85</v>
      </c>
      <c r="H163" s="7">
        <v>85</v>
      </c>
      <c r="I163" s="26" t="s">
        <v>314</v>
      </c>
      <c r="J163" s="15" t="s">
        <v>66</v>
      </c>
    </row>
    <row r="164" spans="1:10" x14ac:dyDescent="0.25">
      <c r="A164" s="7" t="s">
        <v>121</v>
      </c>
      <c r="B164" s="7" t="s">
        <v>65</v>
      </c>
      <c r="C164" s="7">
        <v>14</v>
      </c>
      <c r="D164" s="7" t="s">
        <v>556</v>
      </c>
      <c r="E164" s="7" t="s">
        <v>557</v>
      </c>
      <c r="F164" s="7" t="s">
        <v>557</v>
      </c>
      <c r="G164" s="7">
        <v>320</v>
      </c>
      <c r="H164" s="7">
        <v>320</v>
      </c>
      <c r="I164" s="26" t="s">
        <v>314</v>
      </c>
      <c r="J164" s="15" t="s">
        <v>66</v>
      </c>
    </row>
    <row r="165" spans="1:10" x14ac:dyDescent="0.25">
      <c r="A165" s="7" t="s">
        <v>128</v>
      </c>
      <c r="B165" s="7" t="s">
        <v>65</v>
      </c>
      <c r="C165" s="7">
        <v>1</v>
      </c>
      <c r="D165" s="7" t="s">
        <v>558</v>
      </c>
      <c r="E165" s="7" t="s">
        <v>559</v>
      </c>
      <c r="F165" s="7" t="s">
        <v>559</v>
      </c>
      <c r="G165" s="7">
        <v>33.1</v>
      </c>
      <c r="H165" s="7">
        <v>33.1</v>
      </c>
      <c r="I165" s="26" t="s">
        <v>314</v>
      </c>
      <c r="J165" s="15" t="s">
        <v>66</v>
      </c>
    </row>
    <row r="166" spans="1:10" x14ac:dyDescent="0.25">
      <c r="A166" s="7" t="s">
        <v>128</v>
      </c>
      <c r="B166" s="7" t="s">
        <v>65</v>
      </c>
      <c r="C166" s="7">
        <v>2</v>
      </c>
      <c r="D166" s="7" t="s">
        <v>560</v>
      </c>
      <c r="E166" s="7" t="s">
        <v>561</v>
      </c>
      <c r="F166" s="7" t="s">
        <v>561</v>
      </c>
      <c r="G166" s="7">
        <v>1741</v>
      </c>
      <c r="H166" s="7">
        <v>1741</v>
      </c>
      <c r="I166" s="26" t="s">
        <v>314</v>
      </c>
      <c r="J166" s="15" t="s">
        <v>66</v>
      </c>
    </row>
    <row r="167" spans="1:10" x14ac:dyDescent="0.25">
      <c r="A167" s="7" t="s">
        <v>128</v>
      </c>
      <c r="B167" s="7" t="s">
        <v>65</v>
      </c>
      <c r="C167" s="7">
        <v>3</v>
      </c>
      <c r="D167" s="7" t="s">
        <v>562</v>
      </c>
      <c r="E167" s="7" t="s">
        <v>563</v>
      </c>
      <c r="F167" s="7" t="s">
        <v>563</v>
      </c>
      <c r="G167" s="7">
        <v>154.73</v>
      </c>
      <c r="H167" s="7">
        <v>154.73</v>
      </c>
      <c r="I167" s="26" t="s">
        <v>314</v>
      </c>
      <c r="J167" s="15" t="s">
        <v>66</v>
      </c>
    </row>
    <row r="168" spans="1:10" x14ac:dyDescent="0.25">
      <c r="A168" s="7" t="s">
        <v>128</v>
      </c>
      <c r="B168" s="7" t="s">
        <v>65</v>
      </c>
      <c r="C168" s="7">
        <v>4</v>
      </c>
      <c r="D168" s="7" t="s">
        <v>564</v>
      </c>
      <c r="E168" s="7" t="s">
        <v>565</v>
      </c>
      <c r="F168" s="7" t="s">
        <v>565</v>
      </c>
      <c r="G168" s="7">
        <v>154.72</v>
      </c>
      <c r="H168" s="7">
        <v>154.72</v>
      </c>
      <c r="I168" s="26" t="s">
        <v>314</v>
      </c>
      <c r="J168" s="15" t="s">
        <v>66</v>
      </c>
    </row>
    <row r="169" spans="1:10" x14ac:dyDescent="0.25">
      <c r="A169" s="7" t="s">
        <v>128</v>
      </c>
      <c r="B169" s="7" t="s">
        <v>65</v>
      </c>
      <c r="C169" s="7">
        <v>5</v>
      </c>
      <c r="D169" s="7" t="s">
        <v>566</v>
      </c>
      <c r="E169" s="7" t="s">
        <v>567</v>
      </c>
      <c r="F169" s="7" t="s">
        <v>567</v>
      </c>
      <c r="G169" s="7">
        <v>182.03</v>
      </c>
      <c r="H169" s="7">
        <v>182.03</v>
      </c>
      <c r="I169" s="26" t="s">
        <v>314</v>
      </c>
      <c r="J169" s="15" t="s">
        <v>66</v>
      </c>
    </row>
    <row r="170" spans="1:10" x14ac:dyDescent="0.25">
      <c r="A170" s="7" t="s">
        <v>128</v>
      </c>
      <c r="B170" s="7" t="s">
        <v>65</v>
      </c>
      <c r="C170" s="7">
        <v>6</v>
      </c>
      <c r="D170" s="7" t="s">
        <v>568</v>
      </c>
      <c r="E170" s="7" t="s">
        <v>569</v>
      </c>
      <c r="F170" s="7" t="s">
        <v>569</v>
      </c>
      <c r="G170" s="7">
        <v>182.03</v>
      </c>
      <c r="H170" s="7">
        <v>182.03</v>
      </c>
      <c r="I170" s="26" t="s">
        <v>314</v>
      </c>
      <c r="J170" s="15" t="s">
        <v>66</v>
      </c>
    </row>
    <row r="171" spans="1:10" x14ac:dyDescent="0.25">
      <c r="A171" s="7" t="s">
        <v>128</v>
      </c>
      <c r="B171" s="7" t="s">
        <v>65</v>
      </c>
      <c r="C171" s="7">
        <v>7</v>
      </c>
      <c r="D171" s="7" t="s">
        <v>570</v>
      </c>
      <c r="E171" s="7" t="s">
        <v>571</v>
      </c>
      <c r="F171" s="7" t="s">
        <v>571</v>
      </c>
      <c r="G171" s="7">
        <v>46.04</v>
      </c>
      <c r="H171" s="7">
        <v>46.04</v>
      </c>
      <c r="I171" s="26" t="s">
        <v>314</v>
      </c>
      <c r="J171" s="15" t="s">
        <v>66</v>
      </c>
    </row>
    <row r="172" spans="1:10" x14ac:dyDescent="0.25">
      <c r="A172" s="7" t="s">
        <v>572</v>
      </c>
      <c r="B172" s="7" t="s">
        <v>65</v>
      </c>
      <c r="C172" s="7">
        <v>1</v>
      </c>
      <c r="D172" s="7" t="s">
        <v>573</v>
      </c>
      <c r="E172" s="7" t="s">
        <v>73</v>
      </c>
      <c r="F172" s="7" t="s">
        <v>73</v>
      </c>
      <c r="G172" s="7">
        <v>1500</v>
      </c>
      <c r="H172" s="7">
        <v>1500</v>
      </c>
      <c r="I172" s="26" t="s">
        <v>314</v>
      </c>
      <c r="J172" s="15" t="s">
        <v>66</v>
      </c>
    </row>
    <row r="173" spans="1:10" x14ac:dyDescent="0.25">
      <c r="A173" s="7" t="s">
        <v>572</v>
      </c>
      <c r="B173" s="7" t="s">
        <v>65</v>
      </c>
      <c r="C173" s="7">
        <v>2</v>
      </c>
      <c r="D173" s="7" t="s">
        <v>574</v>
      </c>
      <c r="E173" s="7" t="s">
        <v>73</v>
      </c>
      <c r="F173" s="7" t="s">
        <v>73</v>
      </c>
      <c r="G173" s="7">
        <v>1500</v>
      </c>
      <c r="H173" s="7">
        <v>1500</v>
      </c>
      <c r="I173" s="26" t="s">
        <v>314</v>
      </c>
      <c r="J173" s="15" t="s">
        <v>66</v>
      </c>
    </row>
    <row r="174" spans="1:10" x14ac:dyDescent="0.25">
      <c r="A174" s="7" t="s">
        <v>575</v>
      </c>
      <c r="B174" s="7" t="s">
        <v>65</v>
      </c>
      <c r="C174" s="7">
        <v>1</v>
      </c>
      <c r="D174" s="7" t="s">
        <v>576</v>
      </c>
      <c r="E174" s="7" t="s">
        <v>577</v>
      </c>
      <c r="F174" s="7" t="s">
        <v>577</v>
      </c>
      <c r="G174" s="7">
        <v>480</v>
      </c>
      <c r="H174" s="7">
        <v>480</v>
      </c>
      <c r="I174" s="26" t="s">
        <v>314</v>
      </c>
      <c r="J174" s="15" t="s">
        <v>66</v>
      </c>
    </row>
    <row r="175" spans="1:10" x14ac:dyDescent="0.25">
      <c r="A175" s="7" t="s">
        <v>575</v>
      </c>
      <c r="B175" s="7" t="s">
        <v>65</v>
      </c>
      <c r="C175" s="7">
        <v>2</v>
      </c>
      <c r="D175" s="7" t="s">
        <v>578</v>
      </c>
      <c r="E175" s="7" t="s">
        <v>579</v>
      </c>
      <c r="F175" s="7" t="s">
        <v>579</v>
      </c>
      <c r="G175" s="7">
        <v>585</v>
      </c>
      <c r="H175" s="7">
        <v>585</v>
      </c>
      <c r="I175" s="26" t="s">
        <v>314</v>
      </c>
      <c r="J175" s="15" t="s">
        <v>66</v>
      </c>
    </row>
    <row r="176" spans="1:10" x14ac:dyDescent="0.25">
      <c r="A176" s="7" t="s">
        <v>575</v>
      </c>
      <c r="B176" s="7" t="s">
        <v>65</v>
      </c>
      <c r="C176" s="7">
        <v>3</v>
      </c>
      <c r="D176" s="7" t="s">
        <v>580</v>
      </c>
      <c r="E176" s="7" t="s">
        <v>581</v>
      </c>
      <c r="F176" s="7" t="s">
        <v>581</v>
      </c>
      <c r="G176" s="7">
        <v>550</v>
      </c>
      <c r="H176" s="7">
        <v>550</v>
      </c>
      <c r="I176" s="26" t="s">
        <v>314</v>
      </c>
      <c r="J176" s="15" t="s">
        <v>66</v>
      </c>
    </row>
    <row r="177" spans="1:10" x14ac:dyDescent="0.25">
      <c r="A177" s="7" t="s">
        <v>575</v>
      </c>
      <c r="B177" s="7" t="s">
        <v>65</v>
      </c>
      <c r="C177" s="7">
        <v>4</v>
      </c>
      <c r="D177" s="7" t="s">
        <v>582</v>
      </c>
      <c r="E177" s="7" t="s">
        <v>583</v>
      </c>
      <c r="F177" s="7" t="s">
        <v>583</v>
      </c>
      <c r="G177" s="7">
        <v>85</v>
      </c>
      <c r="H177" s="7">
        <v>85</v>
      </c>
      <c r="I177" s="26" t="s">
        <v>314</v>
      </c>
      <c r="J177" s="15" t="s">
        <v>66</v>
      </c>
    </row>
    <row r="178" spans="1:10" x14ac:dyDescent="0.25">
      <c r="A178" s="7" t="s">
        <v>575</v>
      </c>
      <c r="B178" s="7" t="s">
        <v>65</v>
      </c>
      <c r="C178" s="7">
        <v>5</v>
      </c>
      <c r="D178" s="7" t="s">
        <v>584</v>
      </c>
      <c r="E178" s="7" t="s">
        <v>585</v>
      </c>
      <c r="F178" s="7" t="s">
        <v>585</v>
      </c>
      <c r="G178" s="7">
        <v>85</v>
      </c>
      <c r="H178" s="7">
        <v>85</v>
      </c>
      <c r="I178" s="26" t="s">
        <v>314</v>
      </c>
      <c r="J178" s="15" t="s">
        <v>66</v>
      </c>
    </row>
    <row r="179" spans="1:10" x14ac:dyDescent="0.25">
      <c r="A179" s="7" t="s">
        <v>575</v>
      </c>
      <c r="B179" s="7" t="s">
        <v>65</v>
      </c>
      <c r="C179" s="7">
        <v>6</v>
      </c>
      <c r="D179" s="7" t="s">
        <v>586</v>
      </c>
      <c r="E179" s="7" t="s">
        <v>587</v>
      </c>
      <c r="F179" s="7" t="s">
        <v>587</v>
      </c>
      <c r="G179" s="7">
        <v>85</v>
      </c>
      <c r="H179" s="7">
        <v>85</v>
      </c>
      <c r="I179" s="26" t="s">
        <v>314</v>
      </c>
      <c r="J179" s="15" t="s">
        <v>66</v>
      </c>
    </row>
    <row r="180" spans="1:10" x14ac:dyDescent="0.25">
      <c r="A180" s="7" t="s">
        <v>575</v>
      </c>
      <c r="B180" s="7" t="s">
        <v>65</v>
      </c>
      <c r="C180" s="7">
        <v>7</v>
      </c>
      <c r="D180" s="7" t="s">
        <v>588</v>
      </c>
      <c r="E180" s="7" t="s">
        <v>589</v>
      </c>
      <c r="F180" s="7" t="s">
        <v>589</v>
      </c>
      <c r="G180" s="7">
        <v>650</v>
      </c>
      <c r="H180" s="7">
        <v>650</v>
      </c>
      <c r="I180" s="26" t="s">
        <v>314</v>
      </c>
      <c r="J180" s="15" t="s">
        <v>66</v>
      </c>
    </row>
    <row r="181" spans="1:10" x14ac:dyDescent="0.25">
      <c r="A181" s="7" t="s">
        <v>575</v>
      </c>
      <c r="B181" s="7" t="s">
        <v>65</v>
      </c>
      <c r="C181" s="7">
        <v>8</v>
      </c>
      <c r="D181" s="7" t="s">
        <v>590</v>
      </c>
      <c r="E181" s="7" t="s">
        <v>591</v>
      </c>
      <c r="F181" s="7" t="s">
        <v>591</v>
      </c>
      <c r="G181" s="7">
        <v>350</v>
      </c>
      <c r="H181" s="7">
        <v>350</v>
      </c>
      <c r="I181" s="26" t="s">
        <v>314</v>
      </c>
      <c r="J181" s="15" t="s">
        <v>66</v>
      </c>
    </row>
    <row r="182" spans="1:10" x14ac:dyDescent="0.25">
      <c r="A182" s="7" t="s">
        <v>575</v>
      </c>
      <c r="B182" s="7" t="s">
        <v>65</v>
      </c>
      <c r="C182" s="7">
        <v>9</v>
      </c>
      <c r="D182" s="7" t="s">
        <v>592</v>
      </c>
      <c r="E182" s="7" t="s">
        <v>593</v>
      </c>
      <c r="F182" s="7" t="s">
        <v>593</v>
      </c>
      <c r="G182" s="7">
        <v>85</v>
      </c>
      <c r="H182" s="7">
        <v>85</v>
      </c>
      <c r="I182" s="26" t="s">
        <v>314</v>
      </c>
      <c r="J182" s="15" t="s">
        <v>66</v>
      </c>
    </row>
    <row r="183" spans="1:10" x14ac:dyDescent="0.25">
      <c r="A183" s="7" t="s">
        <v>575</v>
      </c>
      <c r="B183" s="7" t="s">
        <v>65</v>
      </c>
      <c r="C183" s="7">
        <v>10</v>
      </c>
      <c r="D183" s="7" t="s">
        <v>594</v>
      </c>
      <c r="E183" s="7" t="s">
        <v>595</v>
      </c>
      <c r="F183" s="7" t="s">
        <v>595</v>
      </c>
      <c r="G183" s="7">
        <v>45</v>
      </c>
      <c r="H183" s="7">
        <v>45</v>
      </c>
      <c r="I183" s="26" t="s">
        <v>314</v>
      </c>
      <c r="J183" s="15" t="s">
        <v>66</v>
      </c>
    </row>
    <row r="184" spans="1:10" x14ac:dyDescent="0.25">
      <c r="A184" s="7" t="s">
        <v>575</v>
      </c>
      <c r="B184" s="7" t="s">
        <v>65</v>
      </c>
      <c r="C184" s="7">
        <v>11</v>
      </c>
      <c r="D184" s="7" t="s">
        <v>596</v>
      </c>
      <c r="E184" s="7" t="s">
        <v>597</v>
      </c>
      <c r="F184" s="7" t="s">
        <v>597</v>
      </c>
      <c r="G184" s="7">
        <v>45</v>
      </c>
      <c r="H184" s="7">
        <v>45</v>
      </c>
      <c r="I184" s="26" t="s">
        <v>314</v>
      </c>
      <c r="J184" s="15" t="s">
        <v>66</v>
      </c>
    </row>
    <row r="185" spans="1:10" x14ac:dyDescent="0.25">
      <c r="A185" s="7" t="s">
        <v>575</v>
      </c>
      <c r="B185" s="7" t="s">
        <v>65</v>
      </c>
      <c r="C185" s="7">
        <v>12</v>
      </c>
      <c r="D185" s="7" t="s">
        <v>598</v>
      </c>
      <c r="E185" s="7" t="s">
        <v>599</v>
      </c>
      <c r="F185" s="7" t="s">
        <v>599</v>
      </c>
      <c r="G185" s="7">
        <v>95</v>
      </c>
      <c r="H185" s="7">
        <v>95</v>
      </c>
      <c r="I185" s="26" t="s">
        <v>314</v>
      </c>
      <c r="J185" s="15" t="s">
        <v>66</v>
      </c>
    </row>
    <row r="186" spans="1:10" x14ac:dyDescent="0.25">
      <c r="A186" s="7" t="s">
        <v>575</v>
      </c>
      <c r="B186" s="7" t="s">
        <v>65</v>
      </c>
      <c r="C186" s="7">
        <v>13</v>
      </c>
      <c r="D186" s="7" t="s">
        <v>600</v>
      </c>
      <c r="E186" s="7" t="s">
        <v>601</v>
      </c>
      <c r="F186" s="7" t="s">
        <v>601</v>
      </c>
      <c r="G186" s="7">
        <v>50</v>
      </c>
      <c r="H186" s="7">
        <v>50</v>
      </c>
      <c r="I186" s="26" t="s">
        <v>314</v>
      </c>
      <c r="J186" s="15" t="s">
        <v>66</v>
      </c>
    </row>
    <row r="187" spans="1:10" x14ac:dyDescent="0.25">
      <c r="A187" s="7" t="s">
        <v>575</v>
      </c>
      <c r="B187" s="7" t="s">
        <v>65</v>
      </c>
      <c r="C187" s="7">
        <v>14</v>
      </c>
      <c r="D187" s="7" t="s">
        <v>602</v>
      </c>
      <c r="E187" s="7" t="s">
        <v>603</v>
      </c>
      <c r="F187" s="7" t="s">
        <v>603</v>
      </c>
      <c r="G187" s="7">
        <v>50</v>
      </c>
      <c r="H187" s="7">
        <v>50</v>
      </c>
      <c r="I187" s="26" t="s">
        <v>314</v>
      </c>
      <c r="J187" s="15" t="s">
        <v>66</v>
      </c>
    </row>
    <row r="188" spans="1:10" x14ac:dyDescent="0.25">
      <c r="A188" s="7" t="s">
        <v>575</v>
      </c>
      <c r="B188" s="7" t="s">
        <v>65</v>
      </c>
      <c r="C188" s="7">
        <v>15</v>
      </c>
      <c r="D188" s="7" t="s">
        <v>604</v>
      </c>
      <c r="E188" s="7" t="s">
        <v>605</v>
      </c>
      <c r="F188" s="7" t="s">
        <v>605</v>
      </c>
      <c r="G188" s="7">
        <v>2</v>
      </c>
      <c r="H188" s="7">
        <v>2</v>
      </c>
      <c r="I188" s="26" t="s">
        <v>314</v>
      </c>
      <c r="J188" s="15" t="s">
        <v>66</v>
      </c>
    </row>
    <row r="189" spans="1:10" x14ac:dyDescent="0.25">
      <c r="A189" s="7" t="s">
        <v>575</v>
      </c>
      <c r="B189" s="7" t="s">
        <v>65</v>
      </c>
      <c r="C189" s="7">
        <v>16</v>
      </c>
      <c r="D189" s="7" t="s">
        <v>606</v>
      </c>
      <c r="E189" s="7" t="s">
        <v>607</v>
      </c>
      <c r="F189" s="7" t="s">
        <v>607</v>
      </c>
      <c r="G189" s="7">
        <v>45</v>
      </c>
      <c r="H189" s="7">
        <v>45</v>
      </c>
      <c r="I189" s="26" t="s">
        <v>314</v>
      </c>
      <c r="J189" s="15" t="s">
        <v>66</v>
      </c>
    </row>
    <row r="190" spans="1:10" x14ac:dyDescent="0.25">
      <c r="A190" s="7" t="s">
        <v>575</v>
      </c>
      <c r="B190" s="7" t="s">
        <v>65</v>
      </c>
      <c r="C190" s="7">
        <v>17</v>
      </c>
      <c r="D190" s="7" t="s">
        <v>608</v>
      </c>
      <c r="E190" s="7" t="s">
        <v>609</v>
      </c>
      <c r="F190" s="7" t="s">
        <v>609</v>
      </c>
      <c r="G190" s="7">
        <v>395</v>
      </c>
      <c r="H190" s="7">
        <v>395</v>
      </c>
      <c r="I190" s="26" t="s">
        <v>314</v>
      </c>
      <c r="J190" s="15" t="s">
        <v>66</v>
      </c>
    </row>
    <row r="191" spans="1:10" x14ac:dyDescent="0.25">
      <c r="A191" s="7" t="s">
        <v>610</v>
      </c>
      <c r="B191" s="7" t="s">
        <v>65</v>
      </c>
      <c r="C191" s="7">
        <v>1</v>
      </c>
      <c r="D191" s="7" t="s">
        <v>611</v>
      </c>
      <c r="E191" s="7" t="s">
        <v>612</v>
      </c>
      <c r="F191" s="7" t="s">
        <v>612</v>
      </c>
      <c r="G191" s="7">
        <v>1900</v>
      </c>
      <c r="H191" s="7">
        <v>1900</v>
      </c>
      <c r="I191" s="26" t="s">
        <v>314</v>
      </c>
      <c r="J191" s="15" t="s">
        <v>66</v>
      </c>
    </row>
    <row r="192" spans="1:10" x14ac:dyDescent="0.25">
      <c r="A192" s="7" t="s">
        <v>610</v>
      </c>
      <c r="B192" s="7" t="s">
        <v>65</v>
      </c>
      <c r="C192" s="7">
        <v>2</v>
      </c>
      <c r="D192" s="7" t="s">
        <v>613</v>
      </c>
      <c r="E192" s="7" t="s">
        <v>614</v>
      </c>
      <c r="F192" s="7" t="s">
        <v>614</v>
      </c>
      <c r="G192" s="7">
        <v>45</v>
      </c>
      <c r="H192" s="7">
        <v>45</v>
      </c>
      <c r="I192" s="26" t="s">
        <v>314</v>
      </c>
      <c r="J192" s="15" t="s">
        <v>66</v>
      </c>
    </row>
    <row r="193" spans="1:10" x14ac:dyDescent="0.25">
      <c r="A193" s="7" t="s">
        <v>615</v>
      </c>
      <c r="B193" s="7" t="s">
        <v>65</v>
      </c>
      <c r="C193" s="7">
        <v>1</v>
      </c>
      <c r="D193" s="7" t="s">
        <v>616</v>
      </c>
      <c r="E193" s="7" t="s">
        <v>617</v>
      </c>
      <c r="F193" s="7" t="s">
        <v>617</v>
      </c>
      <c r="G193" s="7">
        <v>480</v>
      </c>
      <c r="H193" s="7">
        <v>480</v>
      </c>
      <c r="I193" s="26" t="s">
        <v>314</v>
      </c>
      <c r="J193" s="15" t="s">
        <v>66</v>
      </c>
    </row>
    <row r="194" spans="1:10" x14ac:dyDescent="0.25">
      <c r="A194" s="7" t="s">
        <v>615</v>
      </c>
      <c r="B194" s="7" t="s">
        <v>65</v>
      </c>
      <c r="C194" s="7">
        <v>2</v>
      </c>
      <c r="D194" s="7" t="s">
        <v>319</v>
      </c>
      <c r="E194" s="7" t="s">
        <v>618</v>
      </c>
      <c r="F194" s="7" t="s">
        <v>618</v>
      </c>
      <c r="G194" s="7">
        <v>5</v>
      </c>
      <c r="H194" s="7">
        <v>5</v>
      </c>
      <c r="I194" s="26" t="s">
        <v>314</v>
      </c>
      <c r="J194" s="15" t="s">
        <v>66</v>
      </c>
    </row>
    <row r="195" spans="1:10" x14ac:dyDescent="0.25">
      <c r="A195" s="7" t="s">
        <v>615</v>
      </c>
      <c r="B195" s="7" t="s">
        <v>65</v>
      </c>
      <c r="C195" s="7">
        <v>3</v>
      </c>
      <c r="D195" s="7" t="s">
        <v>619</v>
      </c>
      <c r="E195" s="7" t="s">
        <v>620</v>
      </c>
      <c r="F195" s="7" t="s">
        <v>620</v>
      </c>
      <c r="G195" s="7">
        <v>720</v>
      </c>
      <c r="H195" s="7">
        <v>720</v>
      </c>
      <c r="I195" s="26" t="s">
        <v>314</v>
      </c>
      <c r="J195" s="15" t="s">
        <v>66</v>
      </c>
    </row>
    <row r="196" spans="1:10" x14ac:dyDescent="0.25">
      <c r="A196" s="7" t="s">
        <v>615</v>
      </c>
      <c r="B196" s="7" t="s">
        <v>65</v>
      </c>
      <c r="C196" s="7">
        <v>4</v>
      </c>
      <c r="D196" s="7" t="s">
        <v>621</v>
      </c>
      <c r="E196" s="7" t="s">
        <v>622</v>
      </c>
      <c r="F196" s="7" t="s">
        <v>622</v>
      </c>
      <c r="G196" s="7">
        <v>95</v>
      </c>
      <c r="H196" s="7">
        <v>95</v>
      </c>
      <c r="I196" s="26" t="s">
        <v>314</v>
      </c>
      <c r="J196" s="15" t="s">
        <v>66</v>
      </c>
    </row>
    <row r="197" spans="1:10" x14ac:dyDescent="0.25">
      <c r="A197" s="7" t="s">
        <v>623</v>
      </c>
      <c r="B197" s="7" t="s">
        <v>65</v>
      </c>
      <c r="C197" s="7">
        <v>1</v>
      </c>
      <c r="D197" s="7" t="s">
        <v>241</v>
      </c>
      <c r="E197" s="7" t="s">
        <v>624</v>
      </c>
      <c r="F197" s="7" t="s">
        <v>624</v>
      </c>
      <c r="G197" s="7">
        <v>360</v>
      </c>
      <c r="H197" s="7">
        <v>360</v>
      </c>
      <c r="I197" s="26" t="s">
        <v>314</v>
      </c>
      <c r="J197" s="15" t="s">
        <v>66</v>
      </c>
    </row>
    <row r="198" spans="1:10" x14ac:dyDescent="0.25">
      <c r="A198" s="7" t="s">
        <v>623</v>
      </c>
      <c r="B198" s="7" t="s">
        <v>65</v>
      </c>
      <c r="C198" s="7">
        <v>2</v>
      </c>
      <c r="D198" s="7" t="s">
        <v>625</v>
      </c>
      <c r="E198" s="7" t="s">
        <v>626</v>
      </c>
      <c r="F198" s="7" t="s">
        <v>626</v>
      </c>
      <c r="G198" s="7">
        <v>18</v>
      </c>
      <c r="H198" s="7">
        <v>18</v>
      </c>
      <c r="I198" s="26" t="s">
        <v>314</v>
      </c>
      <c r="J198" s="15" t="s">
        <v>66</v>
      </c>
    </row>
    <row r="199" spans="1:10" x14ac:dyDescent="0.25">
      <c r="A199" s="7" t="s">
        <v>623</v>
      </c>
      <c r="B199" s="7" t="s">
        <v>65</v>
      </c>
      <c r="C199" s="7">
        <v>3</v>
      </c>
      <c r="D199" s="7" t="s">
        <v>627</v>
      </c>
      <c r="E199" s="7" t="s">
        <v>628</v>
      </c>
      <c r="F199" s="7" t="s">
        <v>628</v>
      </c>
      <c r="G199" s="7">
        <v>18</v>
      </c>
      <c r="H199" s="7">
        <v>18</v>
      </c>
      <c r="I199" s="26" t="s">
        <v>314</v>
      </c>
      <c r="J199" s="15" t="s">
        <v>66</v>
      </c>
    </row>
    <row r="200" spans="1:10" x14ac:dyDescent="0.25">
      <c r="A200" s="7" t="s">
        <v>623</v>
      </c>
      <c r="B200" s="7" t="s">
        <v>65</v>
      </c>
      <c r="C200" s="7">
        <v>4</v>
      </c>
      <c r="D200" s="7" t="s">
        <v>629</v>
      </c>
      <c r="E200" s="7" t="s">
        <v>630</v>
      </c>
      <c r="F200" s="7" t="s">
        <v>630</v>
      </c>
      <c r="G200" s="7">
        <v>20</v>
      </c>
      <c r="H200" s="7">
        <v>20</v>
      </c>
      <c r="I200" s="26" t="s">
        <v>314</v>
      </c>
      <c r="J200" s="15" t="s">
        <v>66</v>
      </c>
    </row>
    <row r="201" spans="1:10" x14ac:dyDescent="0.25">
      <c r="A201" s="7" t="s">
        <v>623</v>
      </c>
      <c r="B201" s="7" t="s">
        <v>65</v>
      </c>
      <c r="C201" s="7">
        <v>5</v>
      </c>
      <c r="D201" s="7" t="s">
        <v>631</v>
      </c>
      <c r="E201" s="7" t="s">
        <v>632</v>
      </c>
      <c r="F201" s="7" t="s">
        <v>632</v>
      </c>
      <c r="G201" s="7">
        <v>75</v>
      </c>
      <c r="H201" s="7">
        <v>75</v>
      </c>
      <c r="I201" s="26" t="s">
        <v>314</v>
      </c>
      <c r="J201" s="15" t="s">
        <v>66</v>
      </c>
    </row>
    <row r="202" spans="1:10" x14ac:dyDescent="0.25">
      <c r="A202" s="7" t="s">
        <v>623</v>
      </c>
      <c r="B202" s="7" t="s">
        <v>65</v>
      </c>
      <c r="C202" s="7">
        <v>6</v>
      </c>
      <c r="D202" s="7" t="s">
        <v>633</v>
      </c>
      <c r="E202" s="7" t="s">
        <v>634</v>
      </c>
      <c r="F202" s="7" t="s">
        <v>634</v>
      </c>
      <c r="G202" s="7">
        <v>260</v>
      </c>
      <c r="H202" s="7">
        <v>260</v>
      </c>
      <c r="I202" s="26" t="s">
        <v>314</v>
      </c>
      <c r="J202" s="15" t="s">
        <v>66</v>
      </c>
    </row>
    <row r="203" spans="1:10" x14ac:dyDescent="0.25">
      <c r="A203" s="7" t="s">
        <v>623</v>
      </c>
      <c r="B203" s="7" t="s">
        <v>65</v>
      </c>
      <c r="C203" s="7">
        <v>7</v>
      </c>
      <c r="D203" s="7" t="s">
        <v>635</v>
      </c>
      <c r="E203" s="7" t="s">
        <v>636</v>
      </c>
      <c r="F203" s="7" t="s">
        <v>636</v>
      </c>
      <c r="G203" s="7">
        <v>20</v>
      </c>
      <c r="H203" s="7">
        <v>20</v>
      </c>
      <c r="I203" s="26" t="s">
        <v>314</v>
      </c>
      <c r="J203" s="15" t="s">
        <v>66</v>
      </c>
    </row>
    <row r="204" spans="1:10" x14ac:dyDescent="0.25">
      <c r="A204" s="7" t="s">
        <v>623</v>
      </c>
      <c r="B204" s="7" t="s">
        <v>65</v>
      </c>
      <c r="C204" s="7">
        <v>8</v>
      </c>
      <c r="D204" s="7" t="s">
        <v>637</v>
      </c>
      <c r="E204" s="7" t="s">
        <v>638</v>
      </c>
      <c r="F204" s="7" t="s">
        <v>638</v>
      </c>
      <c r="G204" s="7">
        <v>20</v>
      </c>
      <c r="H204" s="7">
        <v>20</v>
      </c>
      <c r="I204" s="26" t="s">
        <v>314</v>
      </c>
      <c r="J204" s="15" t="s">
        <v>66</v>
      </c>
    </row>
    <row r="205" spans="1:10" x14ac:dyDescent="0.25">
      <c r="A205" s="7" t="s">
        <v>623</v>
      </c>
      <c r="B205" s="7" t="s">
        <v>65</v>
      </c>
      <c r="C205" s="7">
        <v>9</v>
      </c>
      <c r="D205" s="7" t="s">
        <v>639</v>
      </c>
      <c r="E205" s="7" t="s">
        <v>640</v>
      </c>
      <c r="F205" s="7" t="s">
        <v>640</v>
      </c>
      <c r="G205" s="7">
        <v>60</v>
      </c>
      <c r="H205" s="7">
        <v>60</v>
      </c>
      <c r="I205" s="26" t="s">
        <v>314</v>
      </c>
      <c r="J205" s="15" t="s">
        <v>66</v>
      </c>
    </row>
    <row r="206" spans="1:10" x14ac:dyDescent="0.25">
      <c r="A206" s="7" t="s">
        <v>623</v>
      </c>
      <c r="B206" s="7" t="s">
        <v>65</v>
      </c>
      <c r="C206" s="7">
        <v>10</v>
      </c>
      <c r="D206" s="7" t="s">
        <v>641</v>
      </c>
      <c r="E206" s="7" t="s">
        <v>642</v>
      </c>
      <c r="F206" s="7" t="s">
        <v>642</v>
      </c>
      <c r="G206" s="7">
        <v>800</v>
      </c>
      <c r="H206" s="7">
        <v>800</v>
      </c>
      <c r="I206" s="26" t="s">
        <v>314</v>
      </c>
      <c r="J206" s="15" t="s">
        <v>66</v>
      </c>
    </row>
    <row r="207" spans="1:10" x14ac:dyDescent="0.25">
      <c r="A207" s="7" t="s">
        <v>623</v>
      </c>
      <c r="B207" s="7" t="s">
        <v>65</v>
      </c>
      <c r="C207" s="7">
        <v>11</v>
      </c>
      <c r="D207" s="7" t="s">
        <v>643</v>
      </c>
      <c r="E207" s="7" t="s">
        <v>644</v>
      </c>
      <c r="F207" s="7" t="s">
        <v>644</v>
      </c>
      <c r="G207" s="7">
        <v>70</v>
      </c>
      <c r="H207" s="7">
        <v>70</v>
      </c>
      <c r="I207" s="26" t="s">
        <v>314</v>
      </c>
      <c r="J207" s="15" t="s">
        <v>66</v>
      </c>
    </row>
    <row r="208" spans="1:10" x14ac:dyDescent="0.25">
      <c r="A208" s="7" t="s">
        <v>623</v>
      </c>
      <c r="B208" s="7" t="s">
        <v>65</v>
      </c>
      <c r="C208" s="7">
        <v>12</v>
      </c>
      <c r="D208" s="7" t="s">
        <v>645</v>
      </c>
      <c r="E208" s="7" t="s">
        <v>646</v>
      </c>
      <c r="F208" s="7" t="s">
        <v>646</v>
      </c>
      <c r="G208" s="7">
        <v>50</v>
      </c>
      <c r="H208" s="7">
        <v>50</v>
      </c>
      <c r="I208" s="26" t="s">
        <v>314</v>
      </c>
      <c r="J208" s="15" t="s">
        <v>66</v>
      </c>
    </row>
    <row r="209" spans="1:10" x14ac:dyDescent="0.25">
      <c r="A209" s="7" t="s">
        <v>623</v>
      </c>
      <c r="B209" s="7" t="s">
        <v>65</v>
      </c>
      <c r="C209" s="7">
        <v>13</v>
      </c>
      <c r="D209" s="7" t="s">
        <v>647</v>
      </c>
      <c r="E209" s="7" t="s">
        <v>648</v>
      </c>
      <c r="F209" s="7" t="s">
        <v>648</v>
      </c>
      <c r="G209" s="7">
        <v>420</v>
      </c>
      <c r="H209" s="7">
        <v>420</v>
      </c>
      <c r="I209" s="26" t="s">
        <v>314</v>
      </c>
      <c r="J209" s="15" t="s">
        <v>66</v>
      </c>
    </row>
    <row r="210" spans="1:10" x14ac:dyDescent="0.25">
      <c r="A210" s="7" t="s">
        <v>623</v>
      </c>
      <c r="B210" s="7" t="s">
        <v>65</v>
      </c>
      <c r="C210" s="7">
        <v>14</v>
      </c>
      <c r="D210" s="7" t="s">
        <v>649</v>
      </c>
      <c r="E210" s="7" t="s">
        <v>650</v>
      </c>
      <c r="F210" s="7" t="s">
        <v>650</v>
      </c>
      <c r="G210" s="7">
        <v>620</v>
      </c>
      <c r="H210" s="7">
        <v>620</v>
      </c>
      <c r="I210" s="26" t="s">
        <v>314</v>
      </c>
      <c r="J210" s="15" t="s">
        <v>66</v>
      </c>
    </row>
    <row r="211" spans="1:10" x14ac:dyDescent="0.25">
      <c r="A211" s="7" t="s">
        <v>651</v>
      </c>
      <c r="B211" s="7" t="s">
        <v>65</v>
      </c>
      <c r="C211" s="7">
        <v>1</v>
      </c>
      <c r="D211" s="7" t="s">
        <v>652</v>
      </c>
      <c r="E211" s="7" t="s">
        <v>653</v>
      </c>
      <c r="F211" s="7" t="s">
        <v>653</v>
      </c>
      <c r="G211" s="7">
        <v>700</v>
      </c>
      <c r="H211" s="7">
        <v>700</v>
      </c>
      <c r="I211" s="26" t="s">
        <v>314</v>
      </c>
      <c r="J211" s="15" t="s">
        <v>66</v>
      </c>
    </row>
    <row r="212" spans="1:10" x14ac:dyDescent="0.25">
      <c r="A212" s="7" t="s">
        <v>654</v>
      </c>
      <c r="B212" s="7" t="s">
        <v>65</v>
      </c>
      <c r="C212" s="7">
        <v>1</v>
      </c>
      <c r="D212" s="7" t="s">
        <v>655</v>
      </c>
      <c r="E212" s="7" t="s">
        <v>656</v>
      </c>
      <c r="F212" s="7" t="s">
        <v>656</v>
      </c>
      <c r="G212" s="7">
        <v>12</v>
      </c>
      <c r="H212" s="7">
        <v>12</v>
      </c>
      <c r="I212" s="26" t="s">
        <v>314</v>
      </c>
      <c r="J212" s="15" t="s">
        <v>66</v>
      </c>
    </row>
    <row r="213" spans="1:10" x14ac:dyDescent="0.25">
      <c r="A213" s="7" t="s">
        <v>654</v>
      </c>
      <c r="B213" s="7" t="s">
        <v>65</v>
      </c>
      <c r="C213" s="7">
        <v>2</v>
      </c>
      <c r="D213" s="7" t="s">
        <v>657</v>
      </c>
      <c r="E213" s="7" t="s">
        <v>658</v>
      </c>
      <c r="F213" s="7" t="s">
        <v>658</v>
      </c>
      <c r="G213" s="7">
        <v>15</v>
      </c>
      <c r="H213" s="7">
        <v>15</v>
      </c>
      <c r="I213" s="26" t="s">
        <v>314</v>
      </c>
      <c r="J213" s="15" t="s">
        <v>66</v>
      </c>
    </row>
    <row r="214" spans="1:10" x14ac:dyDescent="0.25">
      <c r="A214" s="7" t="s">
        <v>654</v>
      </c>
      <c r="B214" s="7" t="s">
        <v>65</v>
      </c>
      <c r="C214" s="7">
        <v>3</v>
      </c>
      <c r="D214" s="7" t="s">
        <v>659</v>
      </c>
      <c r="E214" s="7" t="s">
        <v>660</v>
      </c>
      <c r="F214" s="7" t="s">
        <v>660</v>
      </c>
      <c r="G214" s="7">
        <v>15</v>
      </c>
      <c r="H214" s="7">
        <v>15</v>
      </c>
      <c r="I214" s="26" t="s">
        <v>314</v>
      </c>
      <c r="J214" s="15" t="s">
        <v>66</v>
      </c>
    </row>
    <row r="215" spans="1:10" x14ac:dyDescent="0.25">
      <c r="A215" s="7" t="s">
        <v>654</v>
      </c>
      <c r="B215" s="7" t="s">
        <v>65</v>
      </c>
      <c r="C215" s="7">
        <v>4</v>
      </c>
      <c r="D215" s="7" t="s">
        <v>661</v>
      </c>
      <c r="E215" s="7" t="s">
        <v>662</v>
      </c>
      <c r="F215" s="7" t="s">
        <v>662</v>
      </c>
      <c r="G215" s="7">
        <v>140</v>
      </c>
      <c r="H215" s="7">
        <v>140</v>
      </c>
      <c r="I215" s="26" t="s">
        <v>314</v>
      </c>
      <c r="J215" s="15" t="s">
        <v>66</v>
      </c>
    </row>
    <row r="216" spans="1:10" x14ac:dyDescent="0.25">
      <c r="A216" s="7" t="s">
        <v>654</v>
      </c>
      <c r="B216" s="7" t="s">
        <v>65</v>
      </c>
      <c r="C216" s="7">
        <v>5</v>
      </c>
      <c r="D216" s="7" t="s">
        <v>663</v>
      </c>
      <c r="E216" s="7" t="s">
        <v>664</v>
      </c>
      <c r="F216" s="7" t="s">
        <v>664</v>
      </c>
      <c r="G216" s="7">
        <v>280</v>
      </c>
      <c r="H216" s="7">
        <v>280</v>
      </c>
      <c r="I216" s="26" t="s">
        <v>314</v>
      </c>
      <c r="J216" s="15" t="s">
        <v>66</v>
      </c>
    </row>
    <row r="217" spans="1:10" x14ac:dyDescent="0.25">
      <c r="A217" s="7" t="s">
        <v>654</v>
      </c>
      <c r="B217" s="7" t="s">
        <v>65</v>
      </c>
      <c r="C217" s="7">
        <v>6</v>
      </c>
      <c r="D217" s="7" t="s">
        <v>665</v>
      </c>
      <c r="E217" s="7" t="s">
        <v>666</v>
      </c>
      <c r="F217" s="7" t="s">
        <v>666</v>
      </c>
      <c r="G217" s="7">
        <v>250</v>
      </c>
      <c r="H217" s="7">
        <v>250</v>
      </c>
      <c r="I217" s="26" t="s">
        <v>314</v>
      </c>
      <c r="J217" s="15" t="s">
        <v>66</v>
      </c>
    </row>
    <row r="218" spans="1:10" x14ac:dyDescent="0.25">
      <c r="A218" s="7" t="s">
        <v>667</v>
      </c>
      <c r="B218" s="7" t="s">
        <v>65</v>
      </c>
      <c r="C218" s="7">
        <v>1</v>
      </c>
      <c r="D218" s="7" t="s">
        <v>668</v>
      </c>
      <c r="E218" s="7" t="s">
        <v>669</v>
      </c>
      <c r="F218" s="7" t="s">
        <v>669</v>
      </c>
      <c r="G218" s="7">
        <v>160</v>
      </c>
      <c r="H218" s="7">
        <v>160</v>
      </c>
      <c r="I218" s="26" t="s">
        <v>314</v>
      </c>
      <c r="J218" s="15" t="s">
        <v>66</v>
      </c>
    </row>
    <row r="219" spans="1:10" x14ac:dyDescent="0.25">
      <c r="A219" s="7" t="s">
        <v>131</v>
      </c>
      <c r="B219" s="7" t="s">
        <v>132</v>
      </c>
      <c r="C219" s="7">
        <v>1</v>
      </c>
      <c r="D219" s="7" t="s">
        <v>335</v>
      </c>
      <c r="E219" s="7" t="s">
        <v>134</v>
      </c>
      <c r="F219" s="7" t="s">
        <v>135</v>
      </c>
      <c r="G219" s="7">
        <v>121.49</v>
      </c>
      <c r="H219" s="7">
        <v>121.49</v>
      </c>
      <c r="I219" s="20" t="s">
        <v>320</v>
      </c>
      <c r="J219" s="15" t="s">
        <v>66</v>
      </c>
    </row>
    <row r="220" spans="1:10" x14ac:dyDescent="0.25">
      <c r="A220" s="7" t="s">
        <v>131</v>
      </c>
      <c r="B220" s="7" t="s">
        <v>132</v>
      </c>
      <c r="C220" s="7">
        <v>2</v>
      </c>
      <c r="D220" s="7" t="s">
        <v>670</v>
      </c>
      <c r="E220" s="7" t="s">
        <v>671</v>
      </c>
      <c r="F220" s="7" t="s">
        <v>671</v>
      </c>
      <c r="G220" s="7">
        <v>212.65</v>
      </c>
      <c r="H220" s="7">
        <v>212.65</v>
      </c>
      <c r="I220" s="26" t="s">
        <v>314</v>
      </c>
      <c r="J220" s="15" t="s">
        <v>66</v>
      </c>
    </row>
    <row r="221" spans="1:10" x14ac:dyDescent="0.25">
      <c r="A221" s="7" t="s">
        <v>131</v>
      </c>
      <c r="B221" s="7" t="s">
        <v>132</v>
      </c>
      <c r="C221" s="7">
        <v>3</v>
      </c>
      <c r="D221" s="7" t="s">
        <v>672</v>
      </c>
      <c r="E221" s="7" t="s">
        <v>673</v>
      </c>
      <c r="F221" s="7" t="s">
        <v>673</v>
      </c>
      <c r="G221" s="7">
        <v>212.65</v>
      </c>
      <c r="H221" s="7">
        <v>212.65</v>
      </c>
      <c r="I221" s="26" t="s">
        <v>314</v>
      </c>
      <c r="J221" s="15" t="s">
        <v>66</v>
      </c>
    </row>
    <row r="222" spans="1:10" x14ac:dyDescent="0.25">
      <c r="A222" s="7" t="s">
        <v>131</v>
      </c>
      <c r="B222" s="7" t="s">
        <v>132</v>
      </c>
      <c r="C222" s="7">
        <v>4</v>
      </c>
      <c r="D222" s="7" t="s">
        <v>674</v>
      </c>
      <c r="E222" s="7" t="s">
        <v>675</v>
      </c>
      <c r="F222" s="7" t="s">
        <v>675</v>
      </c>
      <c r="G222" s="7">
        <v>455.09</v>
      </c>
      <c r="H222" s="7">
        <v>455.09</v>
      </c>
      <c r="I222" s="26" t="s">
        <v>314</v>
      </c>
      <c r="J222" s="15" t="s">
        <v>66</v>
      </c>
    </row>
    <row r="223" spans="1:10" x14ac:dyDescent="0.25">
      <c r="A223" s="7" t="s">
        <v>131</v>
      </c>
      <c r="B223" s="7" t="s">
        <v>132</v>
      </c>
      <c r="C223" s="7">
        <v>5</v>
      </c>
      <c r="D223" s="7" t="s">
        <v>333</v>
      </c>
      <c r="E223" s="7" t="s">
        <v>334</v>
      </c>
      <c r="F223" s="7" t="s">
        <v>334</v>
      </c>
      <c r="G223" s="7">
        <v>41.38</v>
      </c>
      <c r="H223" s="7">
        <v>41.38</v>
      </c>
      <c r="I223" s="26" t="s">
        <v>314</v>
      </c>
      <c r="J223" s="15" t="s">
        <v>66</v>
      </c>
    </row>
    <row r="224" spans="1:10" x14ac:dyDescent="0.25">
      <c r="A224" s="7" t="s">
        <v>131</v>
      </c>
      <c r="B224" s="7" t="s">
        <v>132</v>
      </c>
      <c r="C224" s="7">
        <v>6</v>
      </c>
      <c r="D224" s="7" t="s">
        <v>676</v>
      </c>
      <c r="E224" s="7" t="s">
        <v>677</v>
      </c>
      <c r="F224" s="7" t="s">
        <v>677</v>
      </c>
      <c r="G224" s="7">
        <v>23.36</v>
      </c>
      <c r="H224" s="7">
        <v>23.36</v>
      </c>
      <c r="I224" s="26" t="s">
        <v>314</v>
      </c>
      <c r="J224" s="15" t="s">
        <v>66</v>
      </c>
    </row>
    <row r="225" spans="1:10" x14ac:dyDescent="0.25">
      <c r="A225" s="7" t="s">
        <v>131</v>
      </c>
      <c r="B225" s="7" t="s">
        <v>132</v>
      </c>
      <c r="C225" s="7">
        <v>7</v>
      </c>
      <c r="D225" s="7" t="s">
        <v>678</v>
      </c>
      <c r="E225" s="7" t="s">
        <v>140</v>
      </c>
      <c r="F225" s="7" t="s">
        <v>140</v>
      </c>
      <c r="G225" s="7">
        <v>24.82</v>
      </c>
      <c r="H225" s="7">
        <v>24.82</v>
      </c>
      <c r="I225" s="26" t="s">
        <v>314</v>
      </c>
      <c r="J225" s="15" t="s">
        <v>66</v>
      </c>
    </row>
    <row r="226" spans="1:10" x14ac:dyDescent="0.25">
      <c r="A226" s="7" t="s">
        <v>131</v>
      </c>
      <c r="B226" s="7" t="s">
        <v>132</v>
      </c>
      <c r="C226" s="7">
        <v>8</v>
      </c>
      <c r="D226" s="7" t="s">
        <v>679</v>
      </c>
      <c r="E226" s="7" t="s">
        <v>146</v>
      </c>
      <c r="F226" s="7" t="s">
        <v>147</v>
      </c>
      <c r="G226" s="7">
        <v>106.73</v>
      </c>
      <c r="H226" s="7">
        <v>106.73</v>
      </c>
      <c r="I226" s="20" t="s">
        <v>320</v>
      </c>
      <c r="J226" s="15" t="s">
        <v>66</v>
      </c>
    </row>
    <row r="227" spans="1:10" x14ac:dyDescent="0.25">
      <c r="A227" s="7" t="s">
        <v>131</v>
      </c>
      <c r="B227" s="7" t="s">
        <v>132</v>
      </c>
      <c r="C227" s="7">
        <v>9</v>
      </c>
      <c r="D227" s="7" t="s">
        <v>680</v>
      </c>
      <c r="E227" s="7" t="s">
        <v>681</v>
      </c>
      <c r="F227" s="7" t="s">
        <v>681</v>
      </c>
      <c r="G227" s="7">
        <v>436.29</v>
      </c>
      <c r="H227" s="7">
        <v>436.29</v>
      </c>
      <c r="I227" s="26" t="s">
        <v>314</v>
      </c>
      <c r="J227" s="15" t="s">
        <v>66</v>
      </c>
    </row>
    <row r="228" spans="1:10" x14ac:dyDescent="0.25">
      <c r="A228" s="7" t="s">
        <v>131</v>
      </c>
      <c r="B228" s="7" t="s">
        <v>132</v>
      </c>
      <c r="C228" s="7">
        <v>10</v>
      </c>
      <c r="D228" s="7" t="s">
        <v>560</v>
      </c>
      <c r="E228" s="7" t="s">
        <v>561</v>
      </c>
      <c r="F228" s="7" t="s">
        <v>561</v>
      </c>
      <c r="G228" s="7">
        <v>1741</v>
      </c>
      <c r="H228" s="7">
        <v>1741</v>
      </c>
      <c r="I228" s="26" t="s">
        <v>314</v>
      </c>
      <c r="J228" s="15" t="s">
        <v>66</v>
      </c>
    </row>
    <row r="229" spans="1:10" x14ac:dyDescent="0.25">
      <c r="A229" s="7" t="s">
        <v>131</v>
      </c>
      <c r="B229" s="7" t="s">
        <v>132</v>
      </c>
      <c r="C229" s="7">
        <v>11</v>
      </c>
      <c r="D229" s="7" t="s">
        <v>682</v>
      </c>
      <c r="E229" s="7" t="s">
        <v>683</v>
      </c>
      <c r="F229" s="7" t="s">
        <v>683</v>
      </c>
      <c r="G229" s="7">
        <v>7.09</v>
      </c>
      <c r="H229" s="7">
        <v>7.09</v>
      </c>
      <c r="I229" s="26" t="s">
        <v>314</v>
      </c>
      <c r="J229" s="15" t="s">
        <v>66</v>
      </c>
    </row>
    <row r="230" spans="1:10" x14ac:dyDescent="0.25">
      <c r="A230" s="7" t="s">
        <v>131</v>
      </c>
      <c r="B230" s="7" t="s">
        <v>132</v>
      </c>
      <c r="C230" s="7">
        <v>12</v>
      </c>
      <c r="D230" s="7" t="s">
        <v>684</v>
      </c>
      <c r="E230" s="7" t="s">
        <v>685</v>
      </c>
      <c r="F230" s="7" t="s">
        <v>685</v>
      </c>
      <c r="G230" s="7">
        <v>372.34</v>
      </c>
      <c r="H230" s="7">
        <v>372.34</v>
      </c>
      <c r="I230" s="26" t="s">
        <v>314</v>
      </c>
      <c r="J230" s="15" t="s">
        <v>66</v>
      </c>
    </row>
    <row r="231" spans="1:10" x14ac:dyDescent="0.25">
      <c r="A231" s="7" t="s">
        <v>131</v>
      </c>
      <c r="B231" s="7" t="s">
        <v>132</v>
      </c>
      <c r="C231" s="7">
        <v>13</v>
      </c>
      <c r="D231" s="7" t="s">
        <v>686</v>
      </c>
      <c r="E231" s="7" t="s">
        <v>687</v>
      </c>
      <c r="F231" s="7" t="s">
        <v>687</v>
      </c>
      <c r="G231" s="7">
        <v>21.35</v>
      </c>
      <c r="H231" s="7">
        <v>21.35</v>
      </c>
      <c r="I231" s="26" t="s">
        <v>314</v>
      </c>
      <c r="J231" s="15" t="s">
        <v>66</v>
      </c>
    </row>
    <row r="232" spans="1:10" x14ac:dyDescent="0.25">
      <c r="A232" s="7" t="s">
        <v>131</v>
      </c>
      <c r="B232" s="7" t="s">
        <v>132</v>
      </c>
      <c r="C232" s="7">
        <v>14</v>
      </c>
      <c r="D232" s="7" t="s">
        <v>688</v>
      </c>
      <c r="E232" s="7" t="s">
        <v>689</v>
      </c>
      <c r="F232" s="7" t="s">
        <v>689</v>
      </c>
      <c r="G232" s="7">
        <v>7.1</v>
      </c>
      <c r="H232" s="7">
        <v>7.1</v>
      </c>
      <c r="I232" s="26" t="s">
        <v>314</v>
      </c>
      <c r="J232" s="15" t="s">
        <v>66</v>
      </c>
    </row>
    <row r="233" spans="1:10" x14ac:dyDescent="0.25">
      <c r="A233" s="7" t="s">
        <v>131</v>
      </c>
      <c r="B233" s="7" t="s">
        <v>132</v>
      </c>
      <c r="C233" s="7">
        <v>15</v>
      </c>
      <c r="D233" s="7" t="s">
        <v>690</v>
      </c>
      <c r="E233" s="7" t="s">
        <v>151</v>
      </c>
      <c r="F233" s="7" t="s">
        <v>152</v>
      </c>
      <c r="G233" s="7">
        <v>695.04</v>
      </c>
      <c r="H233" s="7">
        <v>695.04</v>
      </c>
      <c r="I233" s="20" t="s">
        <v>320</v>
      </c>
      <c r="J233" s="15" t="s">
        <v>66</v>
      </c>
    </row>
    <row r="234" spans="1:10" x14ac:dyDescent="0.25">
      <c r="A234" s="7" t="s">
        <v>155</v>
      </c>
      <c r="B234" s="7" t="s">
        <v>132</v>
      </c>
      <c r="C234" s="7">
        <v>1</v>
      </c>
      <c r="D234" s="7" t="s">
        <v>672</v>
      </c>
      <c r="E234" s="7" t="s">
        <v>673</v>
      </c>
      <c r="F234" s="7" t="s">
        <v>73</v>
      </c>
      <c r="G234" s="7">
        <v>212.65</v>
      </c>
      <c r="H234" s="7" t="s">
        <v>73</v>
      </c>
      <c r="I234" s="20" t="s">
        <v>691</v>
      </c>
      <c r="J234" s="15" t="s">
        <v>66</v>
      </c>
    </row>
    <row r="235" spans="1:10" x14ac:dyDescent="0.25">
      <c r="A235" s="7" t="s">
        <v>155</v>
      </c>
      <c r="B235" s="7" t="s">
        <v>132</v>
      </c>
      <c r="C235" s="7">
        <v>2</v>
      </c>
      <c r="D235" s="7" t="s">
        <v>692</v>
      </c>
      <c r="E235" s="7" t="s">
        <v>693</v>
      </c>
      <c r="F235" s="7" t="s">
        <v>73</v>
      </c>
      <c r="G235" s="7">
        <v>233.64</v>
      </c>
      <c r="H235" s="7" t="s">
        <v>73</v>
      </c>
      <c r="I235" s="20" t="s">
        <v>691</v>
      </c>
      <c r="J235" s="15" t="s">
        <v>66</v>
      </c>
    </row>
    <row r="236" spans="1:10" x14ac:dyDescent="0.25">
      <c r="A236" s="7" t="s">
        <v>155</v>
      </c>
      <c r="B236" s="7" t="s">
        <v>132</v>
      </c>
      <c r="C236" s="7">
        <v>3</v>
      </c>
      <c r="D236" s="7" t="s">
        <v>694</v>
      </c>
      <c r="E236" s="7" t="s">
        <v>695</v>
      </c>
      <c r="F236" s="7" t="s">
        <v>73</v>
      </c>
      <c r="G236" s="7">
        <v>60.19</v>
      </c>
      <c r="H236" s="7" t="s">
        <v>73</v>
      </c>
      <c r="I236" s="20" t="s">
        <v>691</v>
      </c>
      <c r="J236" s="15" t="s">
        <v>66</v>
      </c>
    </row>
    <row r="237" spans="1:10" x14ac:dyDescent="0.25">
      <c r="A237" s="7" t="s">
        <v>155</v>
      </c>
      <c r="B237" s="7" t="s">
        <v>132</v>
      </c>
      <c r="C237" s="7">
        <v>4</v>
      </c>
      <c r="D237" s="7" t="s">
        <v>674</v>
      </c>
      <c r="E237" s="7" t="s">
        <v>675</v>
      </c>
      <c r="F237" s="7" t="s">
        <v>73</v>
      </c>
      <c r="G237" s="7">
        <v>455.09</v>
      </c>
      <c r="H237" s="7" t="s">
        <v>73</v>
      </c>
      <c r="I237" s="20" t="s">
        <v>691</v>
      </c>
      <c r="J237" s="15" t="s">
        <v>66</v>
      </c>
    </row>
    <row r="238" spans="1:10" x14ac:dyDescent="0.25">
      <c r="A238" s="7" t="s">
        <v>155</v>
      </c>
      <c r="B238" s="7" t="s">
        <v>132</v>
      </c>
      <c r="C238" s="7">
        <v>5</v>
      </c>
      <c r="D238" s="7" t="s">
        <v>678</v>
      </c>
      <c r="E238" s="7" t="s">
        <v>144</v>
      </c>
      <c r="F238" s="7" t="s">
        <v>73</v>
      </c>
      <c r="G238" s="7">
        <v>24.82</v>
      </c>
      <c r="H238" s="7" t="s">
        <v>73</v>
      </c>
      <c r="I238" s="20" t="s">
        <v>691</v>
      </c>
      <c r="J238" s="15" t="s">
        <v>66</v>
      </c>
    </row>
    <row r="239" spans="1:10" x14ac:dyDescent="0.25">
      <c r="A239" s="7" t="s">
        <v>155</v>
      </c>
      <c r="B239" s="7" t="s">
        <v>132</v>
      </c>
      <c r="C239" s="7">
        <v>6</v>
      </c>
      <c r="D239" s="7" t="s">
        <v>696</v>
      </c>
      <c r="E239" s="7" t="s">
        <v>697</v>
      </c>
      <c r="F239" s="7" t="s">
        <v>697</v>
      </c>
      <c r="G239" s="7">
        <v>106.73</v>
      </c>
      <c r="H239" s="7">
        <v>106.73</v>
      </c>
      <c r="I239" s="26" t="s">
        <v>314</v>
      </c>
      <c r="J239" s="15" t="s">
        <v>66</v>
      </c>
    </row>
    <row r="240" spans="1:10" x14ac:dyDescent="0.25">
      <c r="A240" s="7" t="s">
        <v>155</v>
      </c>
      <c r="B240" s="7" t="s">
        <v>132</v>
      </c>
      <c r="C240" s="7">
        <v>7</v>
      </c>
      <c r="D240" s="7" t="s">
        <v>680</v>
      </c>
      <c r="E240" s="7" t="s">
        <v>681</v>
      </c>
      <c r="F240" s="7" t="s">
        <v>681</v>
      </c>
      <c r="G240" s="7">
        <v>436.29</v>
      </c>
      <c r="H240" s="7">
        <v>436.29</v>
      </c>
      <c r="I240" s="26" t="s">
        <v>314</v>
      </c>
      <c r="J240" s="15" t="s">
        <v>66</v>
      </c>
    </row>
    <row r="241" spans="1:10" x14ac:dyDescent="0.25">
      <c r="A241" s="7" t="s">
        <v>155</v>
      </c>
      <c r="B241" s="7" t="s">
        <v>132</v>
      </c>
      <c r="C241" s="7">
        <v>8</v>
      </c>
      <c r="D241" s="7" t="s">
        <v>560</v>
      </c>
      <c r="E241" s="7" t="s">
        <v>561</v>
      </c>
      <c r="F241" s="7" t="s">
        <v>561</v>
      </c>
      <c r="G241" s="7">
        <v>1741</v>
      </c>
      <c r="H241" s="7">
        <v>1741</v>
      </c>
      <c r="I241" s="26" t="s">
        <v>314</v>
      </c>
      <c r="J241" s="15" t="s">
        <v>66</v>
      </c>
    </row>
    <row r="242" spans="1:10" x14ac:dyDescent="0.25">
      <c r="A242" s="7" t="s">
        <v>155</v>
      </c>
      <c r="B242" s="7" t="s">
        <v>132</v>
      </c>
      <c r="C242" s="7">
        <v>9</v>
      </c>
      <c r="D242" s="7" t="s">
        <v>696</v>
      </c>
      <c r="E242" s="7" t="s">
        <v>697</v>
      </c>
      <c r="F242" s="7" t="s">
        <v>73</v>
      </c>
      <c r="G242" s="7">
        <v>106.73</v>
      </c>
      <c r="H242" s="7" t="s">
        <v>73</v>
      </c>
      <c r="I242" s="20" t="s">
        <v>691</v>
      </c>
      <c r="J242" s="15" t="s">
        <v>66</v>
      </c>
    </row>
    <row r="243" spans="1:10" x14ac:dyDescent="0.25">
      <c r="A243" s="7" t="s">
        <v>155</v>
      </c>
      <c r="B243" s="7" t="s">
        <v>132</v>
      </c>
      <c r="C243" s="7">
        <v>10</v>
      </c>
      <c r="D243" s="7" t="s">
        <v>680</v>
      </c>
      <c r="E243" s="7" t="s">
        <v>681</v>
      </c>
      <c r="F243" s="7" t="s">
        <v>73</v>
      </c>
      <c r="G243" s="7">
        <v>436.29</v>
      </c>
      <c r="H243" s="7" t="s">
        <v>73</v>
      </c>
      <c r="I243" s="20" t="s">
        <v>691</v>
      </c>
      <c r="J243" s="15" t="s">
        <v>66</v>
      </c>
    </row>
    <row r="244" spans="1:10" x14ac:dyDescent="0.25">
      <c r="A244" s="7" t="s">
        <v>155</v>
      </c>
      <c r="B244" s="7" t="s">
        <v>132</v>
      </c>
      <c r="C244" s="7">
        <v>11</v>
      </c>
      <c r="D244" s="7" t="s">
        <v>560</v>
      </c>
      <c r="E244" s="7" t="s">
        <v>561</v>
      </c>
      <c r="F244" s="7" t="s">
        <v>73</v>
      </c>
      <c r="G244" s="7">
        <v>1741</v>
      </c>
      <c r="H244" s="7" t="s">
        <v>73</v>
      </c>
      <c r="I244" s="20" t="s">
        <v>691</v>
      </c>
      <c r="J244" s="15" t="s">
        <v>66</v>
      </c>
    </row>
    <row r="245" spans="1:10" x14ac:dyDescent="0.25">
      <c r="A245" s="7" t="s">
        <v>155</v>
      </c>
      <c r="B245" s="7" t="s">
        <v>132</v>
      </c>
      <c r="C245" s="7">
        <v>12</v>
      </c>
      <c r="D245" s="7" t="s">
        <v>698</v>
      </c>
      <c r="E245" s="7" t="s">
        <v>699</v>
      </c>
      <c r="F245" s="7" t="s">
        <v>699</v>
      </c>
      <c r="G245" s="7">
        <v>182.04</v>
      </c>
      <c r="H245" s="7">
        <v>182.04</v>
      </c>
      <c r="I245" s="26" t="s">
        <v>314</v>
      </c>
      <c r="J245" s="15" t="s">
        <v>66</v>
      </c>
    </row>
    <row r="246" spans="1:10" x14ac:dyDescent="0.25">
      <c r="A246" s="7" t="s">
        <v>155</v>
      </c>
      <c r="B246" s="7" t="s">
        <v>132</v>
      </c>
      <c r="C246" s="7">
        <v>13</v>
      </c>
      <c r="D246" s="7" t="s">
        <v>700</v>
      </c>
      <c r="E246" s="7" t="s">
        <v>701</v>
      </c>
      <c r="F246" s="7" t="s">
        <v>701</v>
      </c>
      <c r="G246" s="7">
        <v>11.28</v>
      </c>
      <c r="H246" s="7">
        <v>11.28</v>
      </c>
      <c r="I246" s="26" t="s">
        <v>314</v>
      </c>
      <c r="J246" s="15" t="s">
        <v>66</v>
      </c>
    </row>
    <row r="247" spans="1:10" x14ac:dyDescent="0.25">
      <c r="A247" s="7" t="s">
        <v>155</v>
      </c>
      <c r="B247" s="7" t="s">
        <v>132</v>
      </c>
      <c r="C247" s="7">
        <v>14</v>
      </c>
      <c r="D247" s="7" t="s">
        <v>688</v>
      </c>
      <c r="E247" s="7" t="s">
        <v>689</v>
      </c>
      <c r="F247" s="7" t="s">
        <v>689</v>
      </c>
      <c r="G247" s="7">
        <v>7.1</v>
      </c>
      <c r="H247" s="7">
        <v>7.1</v>
      </c>
      <c r="I247" s="26" t="s">
        <v>314</v>
      </c>
      <c r="J247" s="15" t="s">
        <v>66</v>
      </c>
    </row>
    <row r="248" spans="1:10" x14ac:dyDescent="0.25">
      <c r="A248" s="7" t="s">
        <v>155</v>
      </c>
      <c r="B248" s="7" t="s">
        <v>132</v>
      </c>
      <c r="C248" s="7">
        <v>15</v>
      </c>
      <c r="D248" s="7" t="s">
        <v>690</v>
      </c>
      <c r="E248" s="7" t="s">
        <v>152</v>
      </c>
      <c r="F248" s="7" t="s">
        <v>152</v>
      </c>
      <c r="G248" s="7">
        <v>695.04</v>
      </c>
      <c r="H248" s="7">
        <v>695.04</v>
      </c>
      <c r="I248" s="26" t="s">
        <v>314</v>
      </c>
      <c r="J248" s="15" t="s">
        <v>66</v>
      </c>
    </row>
    <row r="249" spans="1:10" x14ac:dyDescent="0.25">
      <c r="A249" s="7" t="s">
        <v>702</v>
      </c>
      <c r="B249" s="7" t="s">
        <v>132</v>
      </c>
      <c r="C249" s="7">
        <v>1</v>
      </c>
      <c r="D249" s="7" t="s">
        <v>531</v>
      </c>
      <c r="E249" s="7" t="s">
        <v>703</v>
      </c>
      <c r="F249" s="7" t="s">
        <v>703</v>
      </c>
      <c r="G249" s="7">
        <v>350</v>
      </c>
      <c r="H249" s="7">
        <v>350</v>
      </c>
      <c r="I249" s="26" t="s">
        <v>314</v>
      </c>
      <c r="J249" s="15" t="s">
        <v>66</v>
      </c>
    </row>
    <row r="250" spans="1:10" x14ac:dyDescent="0.25">
      <c r="A250" s="7" t="s">
        <v>702</v>
      </c>
      <c r="B250" s="7" t="s">
        <v>132</v>
      </c>
      <c r="C250" s="7">
        <v>2</v>
      </c>
      <c r="D250" s="7" t="s">
        <v>704</v>
      </c>
      <c r="E250" s="7" t="s">
        <v>705</v>
      </c>
      <c r="F250" s="7" t="s">
        <v>705</v>
      </c>
      <c r="G250" s="7">
        <v>48</v>
      </c>
      <c r="H250" s="7">
        <v>48</v>
      </c>
      <c r="I250" s="26" t="s">
        <v>314</v>
      </c>
      <c r="J250" s="15" t="s">
        <v>66</v>
      </c>
    </row>
    <row r="251" spans="1:10" x14ac:dyDescent="0.25">
      <c r="A251" s="7" t="s">
        <v>702</v>
      </c>
      <c r="B251" s="7" t="s">
        <v>132</v>
      </c>
      <c r="C251" s="7">
        <v>3</v>
      </c>
      <c r="D251" s="7" t="s">
        <v>706</v>
      </c>
      <c r="E251" s="7" t="s">
        <v>707</v>
      </c>
      <c r="F251" s="7" t="s">
        <v>707</v>
      </c>
      <c r="G251" s="7">
        <v>420</v>
      </c>
      <c r="H251" s="7">
        <v>420</v>
      </c>
      <c r="I251" s="26" t="s">
        <v>314</v>
      </c>
      <c r="J251" s="15" t="s">
        <v>66</v>
      </c>
    </row>
    <row r="252" spans="1:10" x14ac:dyDescent="0.25">
      <c r="A252" s="7" t="s">
        <v>702</v>
      </c>
      <c r="B252" s="7" t="s">
        <v>132</v>
      </c>
      <c r="C252" s="7">
        <v>4</v>
      </c>
      <c r="D252" s="7" t="s">
        <v>376</v>
      </c>
      <c r="E252" s="7" t="s">
        <v>708</v>
      </c>
      <c r="F252" s="7" t="s">
        <v>708</v>
      </c>
      <c r="G252" s="7">
        <v>295</v>
      </c>
      <c r="H252" s="7">
        <v>295</v>
      </c>
      <c r="I252" s="26" t="s">
        <v>314</v>
      </c>
      <c r="J252" s="15" t="s">
        <v>66</v>
      </c>
    </row>
    <row r="253" spans="1:10" x14ac:dyDescent="0.25">
      <c r="A253" s="7" t="s">
        <v>702</v>
      </c>
      <c r="B253" s="7" t="s">
        <v>132</v>
      </c>
      <c r="C253" s="7">
        <v>5</v>
      </c>
      <c r="D253" s="7" t="s">
        <v>709</v>
      </c>
      <c r="E253" s="7" t="s">
        <v>710</v>
      </c>
      <c r="F253" s="7" t="s">
        <v>710</v>
      </c>
      <c r="G253" s="7">
        <v>65</v>
      </c>
      <c r="H253" s="7">
        <v>65</v>
      </c>
      <c r="I253" s="26" t="s">
        <v>314</v>
      </c>
      <c r="J253" s="15" t="s">
        <v>66</v>
      </c>
    </row>
    <row r="254" spans="1:10" x14ac:dyDescent="0.25">
      <c r="A254" s="7" t="s">
        <v>702</v>
      </c>
      <c r="B254" s="7" t="s">
        <v>132</v>
      </c>
      <c r="C254" s="7">
        <v>6</v>
      </c>
      <c r="D254" s="7" t="s">
        <v>711</v>
      </c>
      <c r="E254" s="7" t="s">
        <v>712</v>
      </c>
      <c r="F254" s="7" t="s">
        <v>712</v>
      </c>
      <c r="G254" s="7">
        <v>1350</v>
      </c>
      <c r="H254" s="7">
        <v>1350</v>
      </c>
      <c r="I254" s="26" t="s">
        <v>314</v>
      </c>
      <c r="J254" s="15" t="s">
        <v>66</v>
      </c>
    </row>
    <row r="255" spans="1:10" x14ac:dyDescent="0.25">
      <c r="A255" s="7" t="s">
        <v>702</v>
      </c>
      <c r="B255" s="7" t="s">
        <v>132</v>
      </c>
      <c r="C255" s="7">
        <v>7</v>
      </c>
      <c r="D255" s="7" t="s">
        <v>257</v>
      </c>
      <c r="E255" s="7" t="s">
        <v>713</v>
      </c>
      <c r="F255" s="7" t="s">
        <v>713</v>
      </c>
      <c r="G255" s="7">
        <v>600</v>
      </c>
      <c r="H255" s="7">
        <v>600</v>
      </c>
      <c r="I255" s="26" t="s">
        <v>314</v>
      </c>
      <c r="J255" s="15" t="s">
        <v>66</v>
      </c>
    </row>
    <row r="256" spans="1:10" x14ac:dyDescent="0.25">
      <c r="A256" s="7" t="s">
        <v>702</v>
      </c>
      <c r="B256" s="7" t="s">
        <v>132</v>
      </c>
      <c r="C256" s="7">
        <v>8</v>
      </c>
      <c r="D256" s="7" t="s">
        <v>380</v>
      </c>
      <c r="E256" s="7" t="s">
        <v>714</v>
      </c>
      <c r="F256" s="7" t="s">
        <v>714</v>
      </c>
      <c r="G256" s="7">
        <v>380</v>
      </c>
      <c r="H256" s="7">
        <v>380</v>
      </c>
      <c r="I256" s="26" t="s">
        <v>314</v>
      </c>
      <c r="J256" s="15" t="s">
        <v>66</v>
      </c>
    </row>
    <row r="257" spans="1:10" x14ac:dyDescent="0.25">
      <c r="A257" s="7" t="s">
        <v>702</v>
      </c>
      <c r="B257" s="7" t="s">
        <v>132</v>
      </c>
      <c r="C257" s="7">
        <v>9</v>
      </c>
      <c r="D257" s="7" t="s">
        <v>715</v>
      </c>
      <c r="E257" s="7" t="s">
        <v>716</v>
      </c>
      <c r="F257" s="7" t="s">
        <v>716</v>
      </c>
      <c r="G257" s="7">
        <v>105</v>
      </c>
      <c r="H257" s="7">
        <v>105</v>
      </c>
      <c r="I257" s="26" t="s">
        <v>314</v>
      </c>
      <c r="J257" s="15" t="s">
        <v>66</v>
      </c>
    </row>
    <row r="258" spans="1:10" x14ac:dyDescent="0.25">
      <c r="A258" s="7" t="s">
        <v>702</v>
      </c>
      <c r="B258" s="7" t="s">
        <v>132</v>
      </c>
      <c r="C258" s="7">
        <v>10</v>
      </c>
      <c r="D258" s="7" t="s">
        <v>717</v>
      </c>
      <c r="E258" s="7" t="s">
        <v>718</v>
      </c>
      <c r="F258" s="7" t="s">
        <v>718</v>
      </c>
      <c r="G258" s="7">
        <v>60</v>
      </c>
      <c r="H258" s="7">
        <v>60</v>
      </c>
      <c r="I258" s="26" t="s">
        <v>314</v>
      </c>
      <c r="J258" s="15" t="s">
        <v>66</v>
      </c>
    </row>
    <row r="259" spans="1:10" x14ac:dyDescent="0.25">
      <c r="A259" s="7" t="s">
        <v>702</v>
      </c>
      <c r="B259" s="7" t="s">
        <v>132</v>
      </c>
      <c r="C259" s="7">
        <v>11</v>
      </c>
      <c r="D259" s="7" t="s">
        <v>719</v>
      </c>
      <c r="E259" s="7" t="s">
        <v>720</v>
      </c>
      <c r="F259" s="7" t="s">
        <v>720</v>
      </c>
      <c r="G259" s="7">
        <v>65</v>
      </c>
      <c r="H259" s="7">
        <v>65</v>
      </c>
      <c r="I259" s="26" t="s">
        <v>314</v>
      </c>
      <c r="J259" s="15" t="s">
        <v>66</v>
      </c>
    </row>
    <row r="260" spans="1:10" x14ac:dyDescent="0.25">
      <c r="A260" s="7" t="s">
        <v>702</v>
      </c>
      <c r="B260" s="7" t="s">
        <v>132</v>
      </c>
      <c r="C260" s="7">
        <v>12</v>
      </c>
      <c r="D260" s="7" t="s">
        <v>721</v>
      </c>
      <c r="E260" s="7" t="s">
        <v>605</v>
      </c>
      <c r="F260" s="7" t="s">
        <v>605</v>
      </c>
      <c r="G260" s="7">
        <v>2</v>
      </c>
      <c r="H260" s="7">
        <v>2</v>
      </c>
      <c r="I260" s="26" t="s">
        <v>314</v>
      </c>
      <c r="J260" s="15" t="s">
        <v>66</v>
      </c>
    </row>
    <row r="261" spans="1:10" x14ac:dyDescent="0.25">
      <c r="A261" s="7" t="s">
        <v>702</v>
      </c>
      <c r="B261" s="7" t="s">
        <v>132</v>
      </c>
      <c r="C261" s="7">
        <v>13</v>
      </c>
      <c r="D261" s="7" t="s">
        <v>604</v>
      </c>
      <c r="E261" s="7" t="s">
        <v>605</v>
      </c>
      <c r="F261" s="7" t="s">
        <v>605</v>
      </c>
      <c r="G261" s="7">
        <v>2</v>
      </c>
      <c r="H261" s="7">
        <v>2</v>
      </c>
      <c r="I261" s="26" t="s">
        <v>314</v>
      </c>
      <c r="J261" s="15" t="s">
        <v>66</v>
      </c>
    </row>
    <row r="262" spans="1:10" x14ac:dyDescent="0.25">
      <c r="A262" s="7" t="s">
        <v>702</v>
      </c>
      <c r="B262" s="7" t="s">
        <v>132</v>
      </c>
      <c r="C262" s="7">
        <v>14</v>
      </c>
      <c r="D262" s="7" t="s">
        <v>722</v>
      </c>
      <c r="E262" s="7" t="s">
        <v>723</v>
      </c>
      <c r="F262" s="7" t="s">
        <v>723</v>
      </c>
      <c r="G262" s="7">
        <v>2</v>
      </c>
      <c r="H262" s="7">
        <v>2</v>
      </c>
      <c r="I262" s="26" t="s">
        <v>314</v>
      </c>
      <c r="J262" s="15" t="s">
        <v>66</v>
      </c>
    </row>
    <row r="263" spans="1:10" x14ac:dyDescent="0.25">
      <c r="A263" s="7" t="s">
        <v>181</v>
      </c>
      <c r="B263" s="7" t="s">
        <v>132</v>
      </c>
      <c r="C263" s="7">
        <v>1</v>
      </c>
      <c r="D263" s="7" t="s">
        <v>724</v>
      </c>
      <c r="E263" s="7" t="s">
        <v>725</v>
      </c>
      <c r="F263" s="7" t="s">
        <v>725</v>
      </c>
      <c r="G263" s="7">
        <v>35</v>
      </c>
      <c r="H263" s="7">
        <v>35</v>
      </c>
      <c r="I263" s="26" t="s">
        <v>314</v>
      </c>
      <c r="J263" s="15" t="s">
        <v>66</v>
      </c>
    </row>
    <row r="264" spans="1:10" x14ac:dyDescent="0.25">
      <c r="A264" s="7" t="s">
        <v>181</v>
      </c>
      <c r="B264" s="7" t="s">
        <v>132</v>
      </c>
      <c r="C264" s="7">
        <v>2</v>
      </c>
      <c r="D264" s="7" t="s">
        <v>726</v>
      </c>
      <c r="E264" s="7" t="s">
        <v>727</v>
      </c>
      <c r="F264" s="7" t="s">
        <v>727</v>
      </c>
      <c r="G264" s="7">
        <v>35</v>
      </c>
      <c r="H264" s="7">
        <v>35</v>
      </c>
      <c r="I264" s="26" t="s">
        <v>314</v>
      </c>
      <c r="J264" s="15" t="s">
        <v>66</v>
      </c>
    </row>
    <row r="265" spans="1:10" x14ac:dyDescent="0.25">
      <c r="A265" s="7" t="s">
        <v>181</v>
      </c>
      <c r="B265" s="7" t="s">
        <v>132</v>
      </c>
      <c r="C265" s="7">
        <v>3</v>
      </c>
      <c r="D265" s="7" t="s">
        <v>643</v>
      </c>
      <c r="E265" s="7" t="s">
        <v>728</v>
      </c>
      <c r="F265" s="7" t="s">
        <v>728</v>
      </c>
      <c r="G265" s="7">
        <v>65</v>
      </c>
      <c r="H265" s="7">
        <v>65</v>
      </c>
      <c r="I265" s="26" t="s">
        <v>314</v>
      </c>
      <c r="J265" s="15" t="s">
        <v>66</v>
      </c>
    </row>
    <row r="266" spans="1:10" x14ac:dyDescent="0.25">
      <c r="A266" s="7" t="s">
        <v>181</v>
      </c>
      <c r="B266" s="7" t="s">
        <v>132</v>
      </c>
      <c r="C266" s="7">
        <v>4</v>
      </c>
      <c r="D266" s="7" t="s">
        <v>729</v>
      </c>
      <c r="E266" s="7" t="s">
        <v>730</v>
      </c>
      <c r="F266" s="7" t="s">
        <v>730</v>
      </c>
      <c r="G266" s="7">
        <v>40</v>
      </c>
      <c r="H266" s="7">
        <v>40</v>
      </c>
      <c r="I266" s="26" t="s">
        <v>314</v>
      </c>
      <c r="J266" s="15" t="s">
        <v>66</v>
      </c>
    </row>
    <row r="267" spans="1:10" x14ac:dyDescent="0.25">
      <c r="A267" s="7" t="s">
        <v>181</v>
      </c>
      <c r="B267" s="7" t="s">
        <v>132</v>
      </c>
      <c r="C267" s="7">
        <v>5</v>
      </c>
      <c r="D267" s="7" t="s">
        <v>731</v>
      </c>
      <c r="E267" s="7" t="s">
        <v>732</v>
      </c>
      <c r="F267" s="7" t="s">
        <v>732</v>
      </c>
      <c r="G267" s="7">
        <v>110</v>
      </c>
      <c r="H267" s="7">
        <v>110</v>
      </c>
      <c r="I267" s="26" t="s">
        <v>314</v>
      </c>
      <c r="J267" s="15" t="s">
        <v>66</v>
      </c>
    </row>
    <row r="268" spans="1:10" x14ac:dyDescent="0.25">
      <c r="A268" s="7" t="s">
        <v>181</v>
      </c>
      <c r="B268" s="7" t="s">
        <v>132</v>
      </c>
      <c r="C268" s="7">
        <v>6</v>
      </c>
      <c r="D268" s="7" t="s">
        <v>733</v>
      </c>
      <c r="E268" s="7" t="s">
        <v>734</v>
      </c>
      <c r="F268" s="7" t="s">
        <v>734</v>
      </c>
      <c r="G268" s="7">
        <v>75</v>
      </c>
      <c r="H268" s="7">
        <v>75</v>
      </c>
      <c r="I268" s="26" t="s">
        <v>314</v>
      </c>
      <c r="J268" s="15" t="s">
        <v>66</v>
      </c>
    </row>
    <row r="269" spans="1:10" x14ac:dyDescent="0.25">
      <c r="A269" s="7" t="s">
        <v>181</v>
      </c>
      <c r="B269" s="7" t="s">
        <v>132</v>
      </c>
      <c r="C269" s="7">
        <v>7</v>
      </c>
      <c r="D269" s="7" t="s">
        <v>735</v>
      </c>
      <c r="E269" s="7" t="s">
        <v>736</v>
      </c>
      <c r="F269" s="7" t="s">
        <v>736</v>
      </c>
      <c r="G269" s="7">
        <v>75</v>
      </c>
      <c r="H269" s="7">
        <v>75</v>
      </c>
      <c r="I269" s="26" t="s">
        <v>314</v>
      </c>
      <c r="J269" s="15" t="s">
        <v>66</v>
      </c>
    </row>
    <row r="270" spans="1:10" x14ac:dyDescent="0.25">
      <c r="A270" s="7" t="s">
        <v>181</v>
      </c>
      <c r="B270" s="7" t="s">
        <v>132</v>
      </c>
      <c r="C270" s="7">
        <v>8</v>
      </c>
      <c r="D270" s="7" t="s">
        <v>737</v>
      </c>
      <c r="E270" s="7" t="s">
        <v>738</v>
      </c>
      <c r="F270" s="7" t="s">
        <v>738</v>
      </c>
      <c r="G270" s="7">
        <v>170</v>
      </c>
      <c r="H270" s="7">
        <v>170</v>
      </c>
      <c r="I270" s="26" t="s">
        <v>314</v>
      </c>
      <c r="J270" s="15" t="s">
        <v>66</v>
      </c>
    </row>
    <row r="271" spans="1:10" x14ac:dyDescent="0.25">
      <c r="A271" s="7" t="s">
        <v>181</v>
      </c>
      <c r="B271" s="7" t="s">
        <v>132</v>
      </c>
      <c r="C271" s="7">
        <v>9</v>
      </c>
      <c r="D271" s="7" t="s">
        <v>739</v>
      </c>
      <c r="E271" s="7" t="s">
        <v>740</v>
      </c>
      <c r="F271" s="7" t="s">
        <v>740</v>
      </c>
      <c r="G271" s="7">
        <v>60</v>
      </c>
      <c r="H271" s="7">
        <v>60</v>
      </c>
      <c r="I271" s="26" t="s">
        <v>314</v>
      </c>
      <c r="J271" s="15" t="s">
        <v>66</v>
      </c>
    </row>
    <row r="272" spans="1:10" x14ac:dyDescent="0.25">
      <c r="A272" s="7" t="s">
        <v>181</v>
      </c>
      <c r="B272" s="7" t="s">
        <v>132</v>
      </c>
      <c r="C272" s="7">
        <v>10</v>
      </c>
      <c r="D272" s="7" t="s">
        <v>741</v>
      </c>
      <c r="E272" s="7" t="s">
        <v>742</v>
      </c>
      <c r="F272" s="7" t="s">
        <v>742</v>
      </c>
      <c r="G272" s="7">
        <v>60</v>
      </c>
      <c r="H272" s="7">
        <v>60</v>
      </c>
      <c r="I272" s="26" t="s">
        <v>314</v>
      </c>
      <c r="J272" s="15" t="s">
        <v>66</v>
      </c>
    </row>
    <row r="273" spans="1:10" x14ac:dyDescent="0.25">
      <c r="A273" s="7" t="s">
        <v>181</v>
      </c>
      <c r="B273" s="7" t="s">
        <v>132</v>
      </c>
      <c r="C273" s="7">
        <v>11</v>
      </c>
      <c r="D273" s="7" t="s">
        <v>743</v>
      </c>
      <c r="E273" s="7" t="s">
        <v>744</v>
      </c>
      <c r="F273" s="7" t="s">
        <v>744</v>
      </c>
      <c r="G273" s="7">
        <v>190</v>
      </c>
      <c r="H273" s="7">
        <v>190</v>
      </c>
      <c r="I273" s="26" t="s">
        <v>314</v>
      </c>
      <c r="J273" s="15" t="s">
        <v>66</v>
      </c>
    </row>
    <row r="274" spans="1:10" x14ac:dyDescent="0.25">
      <c r="A274" s="7" t="s">
        <v>181</v>
      </c>
      <c r="B274" s="7" t="s">
        <v>132</v>
      </c>
      <c r="C274" s="7">
        <v>12</v>
      </c>
      <c r="D274" s="7" t="s">
        <v>509</v>
      </c>
      <c r="E274" s="7" t="s">
        <v>745</v>
      </c>
      <c r="F274" s="7" t="s">
        <v>745</v>
      </c>
      <c r="G274" s="7">
        <v>90</v>
      </c>
      <c r="H274" s="7">
        <v>90</v>
      </c>
      <c r="I274" s="26" t="s">
        <v>314</v>
      </c>
      <c r="J274" s="15" t="s">
        <v>66</v>
      </c>
    </row>
    <row r="275" spans="1:10" x14ac:dyDescent="0.25">
      <c r="A275" s="7" t="s">
        <v>181</v>
      </c>
      <c r="B275" s="7" t="s">
        <v>132</v>
      </c>
      <c r="C275" s="7">
        <v>13</v>
      </c>
      <c r="D275" s="7" t="s">
        <v>746</v>
      </c>
      <c r="E275" s="7" t="s">
        <v>747</v>
      </c>
      <c r="F275" s="7" t="s">
        <v>747</v>
      </c>
      <c r="G275" s="7">
        <v>190</v>
      </c>
      <c r="H275" s="7">
        <v>190</v>
      </c>
      <c r="I275" s="26" t="s">
        <v>314</v>
      </c>
      <c r="J275" s="15" t="s">
        <v>66</v>
      </c>
    </row>
    <row r="276" spans="1:10" x14ac:dyDescent="0.25">
      <c r="A276" s="7" t="s">
        <v>181</v>
      </c>
      <c r="B276" s="7" t="s">
        <v>132</v>
      </c>
      <c r="C276" s="7">
        <v>14</v>
      </c>
      <c r="D276" s="7" t="s">
        <v>748</v>
      </c>
      <c r="E276" s="7" t="s">
        <v>749</v>
      </c>
      <c r="F276" s="7" t="s">
        <v>749</v>
      </c>
      <c r="G276" s="7">
        <v>45</v>
      </c>
      <c r="H276" s="7">
        <v>45</v>
      </c>
      <c r="I276" s="26" t="s">
        <v>314</v>
      </c>
      <c r="J276" s="15" t="s">
        <v>66</v>
      </c>
    </row>
    <row r="277" spans="1:10" x14ac:dyDescent="0.25">
      <c r="A277" s="7" t="s">
        <v>181</v>
      </c>
      <c r="B277" s="7" t="s">
        <v>132</v>
      </c>
      <c r="C277" s="7">
        <v>15</v>
      </c>
      <c r="D277" s="7" t="s">
        <v>750</v>
      </c>
      <c r="E277" s="7" t="s">
        <v>183</v>
      </c>
      <c r="F277" s="7" t="s">
        <v>184</v>
      </c>
      <c r="G277" s="7">
        <v>150</v>
      </c>
      <c r="H277" s="7">
        <v>150</v>
      </c>
      <c r="I277" s="20" t="s">
        <v>320</v>
      </c>
      <c r="J277" s="15" t="s">
        <v>66</v>
      </c>
    </row>
    <row r="278" spans="1:10" x14ac:dyDescent="0.25">
      <c r="A278" s="7" t="s">
        <v>181</v>
      </c>
      <c r="B278" s="7" t="s">
        <v>132</v>
      </c>
      <c r="C278" s="7">
        <v>16</v>
      </c>
      <c r="D278" s="7" t="s">
        <v>751</v>
      </c>
      <c r="E278" s="7" t="s">
        <v>752</v>
      </c>
      <c r="F278" s="7" t="s">
        <v>752</v>
      </c>
      <c r="G278" s="7">
        <v>150</v>
      </c>
      <c r="H278" s="7">
        <v>150</v>
      </c>
      <c r="I278" s="26" t="s">
        <v>314</v>
      </c>
      <c r="J278" s="15" t="s">
        <v>66</v>
      </c>
    </row>
    <row r="279" spans="1:10" x14ac:dyDescent="0.25">
      <c r="A279" s="7" t="s">
        <v>181</v>
      </c>
      <c r="B279" s="7" t="s">
        <v>132</v>
      </c>
      <c r="C279" s="7">
        <v>17</v>
      </c>
      <c r="D279" s="7" t="s">
        <v>753</v>
      </c>
      <c r="E279" s="7" t="s">
        <v>754</v>
      </c>
      <c r="F279" s="7" t="s">
        <v>754</v>
      </c>
      <c r="G279" s="7">
        <v>75</v>
      </c>
      <c r="H279" s="7">
        <v>75</v>
      </c>
      <c r="I279" s="26" t="s">
        <v>314</v>
      </c>
      <c r="J279" s="15" t="s">
        <v>66</v>
      </c>
    </row>
    <row r="280" spans="1:10" x14ac:dyDescent="0.25">
      <c r="A280" s="7" t="s">
        <v>181</v>
      </c>
      <c r="B280" s="7" t="s">
        <v>132</v>
      </c>
      <c r="C280" s="7">
        <v>18</v>
      </c>
      <c r="D280" s="7" t="s">
        <v>755</v>
      </c>
      <c r="E280" s="7" t="s">
        <v>756</v>
      </c>
      <c r="F280" s="7" t="s">
        <v>756</v>
      </c>
      <c r="G280" s="7">
        <v>75</v>
      </c>
      <c r="H280" s="7">
        <v>75</v>
      </c>
      <c r="I280" s="26" t="s">
        <v>314</v>
      </c>
      <c r="J280" s="15" t="s">
        <v>66</v>
      </c>
    </row>
    <row r="281" spans="1:10" x14ac:dyDescent="0.25">
      <c r="A281" s="7" t="s">
        <v>181</v>
      </c>
      <c r="B281" s="7" t="s">
        <v>132</v>
      </c>
      <c r="C281" s="7">
        <v>19</v>
      </c>
      <c r="D281" s="7" t="s">
        <v>757</v>
      </c>
      <c r="E281" s="7" t="s">
        <v>758</v>
      </c>
      <c r="F281" s="7" t="s">
        <v>758</v>
      </c>
      <c r="G281" s="7">
        <v>40</v>
      </c>
      <c r="H281" s="7">
        <v>40</v>
      </c>
      <c r="I281" s="26" t="s">
        <v>314</v>
      </c>
      <c r="J281" s="15" t="s">
        <v>66</v>
      </c>
    </row>
    <row r="282" spans="1:10" x14ac:dyDescent="0.25">
      <c r="A282" s="7" t="s">
        <v>181</v>
      </c>
      <c r="B282" s="7" t="s">
        <v>132</v>
      </c>
      <c r="C282" s="7">
        <v>20</v>
      </c>
      <c r="D282" s="7" t="s">
        <v>759</v>
      </c>
      <c r="E282" s="7" t="s">
        <v>760</v>
      </c>
      <c r="F282" s="7" t="s">
        <v>760</v>
      </c>
      <c r="G282" s="7">
        <v>160</v>
      </c>
      <c r="H282" s="7">
        <v>160</v>
      </c>
      <c r="I282" s="26" t="s">
        <v>314</v>
      </c>
      <c r="J282" s="15" t="s">
        <v>66</v>
      </c>
    </row>
    <row r="283" spans="1:10" x14ac:dyDescent="0.25">
      <c r="A283" s="7" t="s">
        <v>181</v>
      </c>
      <c r="B283" s="7" t="s">
        <v>132</v>
      </c>
      <c r="C283" s="7">
        <v>21</v>
      </c>
      <c r="D283" s="7" t="s">
        <v>761</v>
      </c>
      <c r="E283" s="7" t="s">
        <v>762</v>
      </c>
      <c r="F283" s="7" t="s">
        <v>762</v>
      </c>
      <c r="G283" s="7">
        <v>50</v>
      </c>
      <c r="H283" s="7">
        <v>50</v>
      </c>
      <c r="I283" s="26" t="s">
        <v>314</v>
      </c>
      <c r="J283" s="15" t="s">
        <v>66</v>
      </c>
    </row>
    <row r="284" spans="1:10" x14ac:dyDescent="0.25">
      <c r="A284" s="7" t="s">
        <v>763</v>
      </c>
      <c r="B284" s="7" t="s">
        <v>132</v>
      </c>
      <c r="C284" s="7">
        <v>1</v>
      </c>
      <c r="D284" s="7" t="s">
        <v>418</v>
      </c>
      <c r="E284" s="7" t="s">
        <v>764</v>
      </c>
      <c r="F284" s="7" t="s">
        <v>764</v>
      </c>
      <c r="G284" s="7">
        <v>1150</v>
      </c>
      <c r="H284" s="7">
        <v>1150</v>
      </c>
      <c r="I284" s="26" t="s">
        <v>314</v>
      </c>
      <c r="J284" s="15" t="s">
        <v>66</v>
      </c>
    </row>
    <row r="285" spans="1:10" x14ac:dyDescent="0.25">
      <c r="A285" s="7" t="s">
        <v>763</v>
      </c>
      <c r="B285" s="7" t="s">
        <v>132</v>
      </c>
      <c r="C285" s="7">
        <v>2</v>
      </c>
      <c r="D285" s="7" t="s">
        <v>765</v>
      </c>
      <c r="E285" s="7" t="s">
        <v>766</v>
      </c>
      <c r="F285" s="7" t="s">
        <v>766</v>
      </c>
      <c r="G285" s="7">
        <v>950</v>
      </c>
      <c r="H285" s="7">
        <v>950</v>
      </c>
      <c r="I285" s="26" t="s">
        <v>314</v>
      </c>
      <c r="J285" s="15" t="s">
        <v>66</v>
      </c>
    </row>
    <row r="286" spans="1:10" x14ac:dyDescent="0.25">
      <c r="A286" s="7" t="s">
        <v>763</v>
      </c>
      <c r="B286" s="7" t="s">
        <v>132</v>
      </c>
      <c r="C286" s="7">
        <v>3</v>
      </c>
      <c r="D286" s="7" t="s">
        <v>767</v>
      </c>
      <c r="E286" s="7" t="s">
        <v>768</v>
      </c>
      <c r="F286" s="7" t="s">
        <v>768</v>
      </c>
      <c r="G286" s="7">
        <v>620</v>
      </c>
      <c r="H286" s="7">
        <v>620</v>
      </c>
      <c r="I286" s="26" t="s">
        <v>314</v>
      </c>
      <c r="J286" s="15" t="s">
        <v>66</v>
      </c>
    </row>
    <row r="287" spans="1:10" x14ac:dyDescent="0.25">
      <c r="A287" s="7" t="s">
        <v>763</v>
      </c>
      <c r="B287" s="7" t="s">
        <v>132</v>
      </c>
      <c r="C287" s="7">
        <v>4</v>
      </c>
      <c r="D287" s="7" t="s">
        <v>767</v>
      </c>
      <c r="E287" s="7" t="s">
        <v>769</v>
      </c>
      <c r="F287" s="7" t="s">
        <v>769</v>
      </c>
      <c r="G287" s="7">
        <v>80</v>
      </c>
      <c r="H287" s="7">
        <v>80</v>
      </c>
      <c r="I287" s="26" t="s">
        <v>314</v>
      </c>
      <c r="J287" s="15" t="s">
        <v>66</v>
      </c>
    </row>
    <row r="288" spans="1:10" x14ac:dyDescent="0.25">
      <c r="A288" s="7" t="s">
        <v>763</v>
      </c>
      <c r="B288" s="7" t="s">
        <v>132</v>
      </c>
      <c r="C288" s="7">
        <v>5</v>
      </c>
      <c r="D288" s="7" t="s">
        <v>770</v>
      </c>
      <c r="E288" s="7" t="s">
        <v>771</v>
      </c>
      <c r="F288" s="7" t="s">
        <v>771</v>
      </c>
      <c r="G288" s="7">
        <v>130</v>
      </c>
      <c r="H288" s="7">
        <v>130</v>
      </c>
      <c r="I288" s="26" t="s">
        <v>314</v>
      </c>
      <c r="J288" s="15" t="s">
        <v>66</v>
      </c>
    </row>
    <row r="289" spans="1:10" x14ac:dyDescent="0.25">
      <c r="A289" s="7" t="s">
        <v>763</v>
      </c>
      <c r="B289" s="7" t="s">
        <v>132</v>
      </c>
      <c r="C289" s="7">
        <v>6</v>
      </c>
      <c r="D289" s="7" t="s">
        <v>772</v>
      </c>
      <c r="E289" s="7" t="s">
        <v>773</v>
      </c>
      <c r="F289" s="7" t="s">
        <v>773</v>
      </c>
      <c r="G289" s="7">
        <v>820</v>
      </c>
      <c r="H289" s="7">
        <v>820</v>
      </c>
      <c r="I289" s="26" t="s">
        <v>314</v>
      </c>
      <c r="J289" s="15" t="s">
        <v>66</v>
      </c>
    </row>
    <row r="290" spans="1:10" x14ac:dyDescent="0.25">
      <c r="A290" s="7" t="s">
        <v>763</v>
      </c>
      <c r="B290" s="7" t="s">
        <v>132</v>
      </c>
      <c r="C290" s="7">
        <v>7</v>
      </c>
      <c r="D290" s="7" t="s">
        <v>772</v>
      </c>
      <c r="E290" s="7" t="s">
        <v>774</v>
      </c>
      <c r="F290" s="7" t="s">
        <v>774</v>
      </c>
      <c r="G290" s="7">
        <v>280</v>
      </c>
      <c r="H290" s="7">
        <v>280</v>
      </c>
      <c r="I290" s="26" t="s">
        <v>314</v>
      </c>
      <c r="J290" s="15" t="s">
        <v>66</v>
      </c>
    </row>
    <row r="291" spans="1:10" x14ac:dyDescent="0.25">
      <c r="A291" s="7" t="s">
        <v>763</v>
      </c>
      <c r="B291" s="7" t="s">
        <v>132</v>
      </c>
      <c r="C291" s="7">
        <v>8</v>
      </c>
      <c r="D291" s="7" t="s">
        <v>775</v>
      </c>
      <c r="E291" s="7" t="s">
        <v>776</v>
      </c>
      <c r="F291" s="7" t="s">
        <v>776</v>
      </c>
      <c r="G291" s="7">
        <v>90</v>
      </c>
      <c r="H291" s="7">
        <v>90</v>
      </c>
      <c r="I291" s="26" t="s">
        <v>314</v>
      </c>
      <c r="J291" s="15" t="s">
        <v>66</v>
      </c>
    </row>
    <row r="292" spans="1:10" x14ac:dyDescent="0.25">
      <c r="A292" s="7" t="s">
        <v>763</v>
      </c>
      <c r="B292" s="7" t="s">
        <v>132</v>
      </c>
      <c r="C292" s="7">
        <v>9</v>
      </c>
      <c r="D292" s="7" t="s">
        <v>777</v>
      </c>
      <c r="E292" s="7" t="s">
        <v>778</v>
      </c>
      <c r="F292" s="7" t="s">
        <v>778</v>
      </c>
      <c r="G292" s="7">
        <v>50</v>
      </c>
      <c r="H292" s="7">
        <v>50</v>
      </c>
      <c r="I292" s="26" t="s">
        <v>314</v>
      </c>
      <c r="J292" s="15" t="s">
        <v>66</v>
      </c>
    </row>
    <row r="293" spans="1:10" x14ac:dyDescent="0.25">
      <c r="A293" s="7" t="s">
        <v>763</v>
      </c>
      <c r="B293" s="7" t="s">
        <v>132</v>
      </c>
      <c r="C293" s="7">
        <v>10</v>
      </c>
      <c r="D293" s="7" t="s">
        <v>772</v>
      </c>
      <c r="E293" s="7" t="s">
        <v>779</v>
      </c>
      <c r="F293" s="7" t="s">
        <v>779</v>
      </c>
      <c r="G293" s="7">
        <v>195</v>
      </c>
      <c r="H293" s="7">
        <v>195</v>
      </c>
      <c r="I293" s="26" t="s">
        <v>314</v>
      </c>
      <c r="J293" s="15" t="s">
        <v>66</v>
      </c>
    </row>
    <row r="294" spans="1:10" x14ac:dyDescent="0.25">
      <c r="A294" s="7" t="s">
        <v>763</v>
      </c>
      <c r="B294" s="7" t="s">
        <v>132</v>
      </c>
      <c r="C294" s="7">
        <v>11</v>
      </c>
      <c r="D294" s="7" t="s">
        <v>772</v>
      </c>
      <c r="E294" s="7" t="s">
        <v>780</v>
      </c>
      <c r="F294" s="7" t="s">
        <v>780</v>
      </c>
      <c r="G294" s="7">
        <v>195</v>
      </c>
      <c r="H294" s="7">
        <v>195</v>
      </c>
      <c r="I294" s="26" t="s">
        <v>314</v>
      </c>
      <c r="J294" s="15" t="s">
        <v>66</v>
      </c>
    </row>
    <row r="295" spans="1:10" x14ac:dyDescent="0.25">
      <c r="A295" s="7" t="s">
        <v>763</v>
      </c>
      <c r="B295" s="7" t="s">
        <v>132</v>
      </c>
      <c r="C295" s="7">
        <v>12</v>
      </c>
      <c r="D295" s="7" t="s">
        <v>781</v>
      </c>
      <c r="E295" s="7" t="s">
        <v>782</v>
      </c>
      <c r="F295" s="7" t="s">
        <v>782</v>
      </c>
      <c r="G295" s="7">
        <v>300</v>
      </c>
      <c r="H295" s="7">
        <v>300</v>
      </c>
      <c r="I295" s="26" t="s">
        <v>314</v>
      </c>
      <c r="J295" s="15" t="s">
        <v>66</v>
      </c>
    </row>
    <row r="296" spans="1:10" x14ac:dyDescent="0.25">
      <c r="A296" s="7" t="s">
        <v>763</v>
      </c>
      <c r="B296" s="7" t="s">
        <v>132</v>
      </c>
      <c r="C296" s="7">
        <v>13</v>
      </c>
      <c r="D296" s="7" t="s">
        <v>263</v>
      </c>
      <c r="E296" s="7" t="s">
        <v>783</v>
      </c>
      <c r="F296" s="7" t="s">
        <v>783</v>
      </c>
      <c r="G296" s="7">
        <v>120</v>
      </c>
      <c r="H296" s="7">
        <v>120</v>
      </c>
      <c r="I296" s="26" t="s">
        <v>314</v>
      </c>
      <c r="J296" s="15" t="s">
        <v>66</v>
      </c>
    </row>
    <row r="297" spans="1:10" x14ac:dyDescent="0.25">
      <c r="A297" s="7" t="s">
        <v>784</v>
      </c>
      <c r="B297" s="7" t="s">
        <v>132</v>
      </c>
      <c r="C297" s="7">
        <v>1</v>
      </c>
      <c r="D297" s="7" t="s">
        <v>724</v>
      </c>
      <c r="E297" s="7" t="s">
        <v>785</v>
      </c>
      <c r="F297" s="7" t="s">
        <v>785</v>
      </c>
      <c r="G297" s="7">
        <v>35</v>
      </c>
      <c r="H297" s="7">
        <v>35</v>
      </c>
      <c r="I297" s="26" t="s">
        <v>314</v>
      </c>
      <c r="J297" s="15" t="s">
        <v>66</v>
      </c>
    </row>
    <row r="298" spans="1:10" x14ac:dyDescent="0.25">
      <c r="A298" s="7" t="s">
        <v>784</v>
      </c>
      <c r="B298" s="7" t="s">
        <v>132</v>
      </c>
      <c r="C298" s="7">
        <v>2</v>
      </c>
      <c r="D298" s="7" t="s">
        <v>643</v>
      </c>
      <c r="E298" s="7" t="s">
        <v>786</v>
      </c>
      <c r="F298" s="7" t="s">
        <v>786</v>
      </c>
      <c r="G298" s="7">
        <v>50</v>
      </c>
      <c r="H298" s="7">
        <v>50</v>
      </c>
      <c r="I298" s="26" t="s">
        <v>314</v>
      </c>
      <c r="J298" s="15" t="s">
        <v>66</v>
      </c>
    </row>
    <row r="299" spans="1:10" x14ac:dyDescent="0.25">
      <c r="A299" s="7" t="s">
        <v>784</v>
      </c>
      <c r="B299" s="7" t="s">
        <v>132</v>
      </c>
      <c r="C299" s="7">
        <v>3</v>
      </c>
      <c r="D299" s="7" t="s">
        <v>787</v>
      </c>
      <c r="E299" s="7" t="s">
        <v>788</v>
      </c>
      <c r="F299" s="7" t="s">
        <v>788</v>
      </c>
      <c r="G299" s="7">
        <v>110</v>
      </c>
      <c r="H299" s="7">
        <v>110</v>
      </c>
      <c r="I299" s="26" t="s">
        <v>314</v>
      </c>
      <c r="J299" s="15" t="s">
        <v>66</v>
      </c>
    </row>
    <row r="300" spans="1:10" x14ac:dyDescent="0.25">
      <c r="A300" s="7" t="s">
        <v>784</v>
      </c>
      <c r="B300" s="7" t="s">
        <v>132</v>
      </c>
      <c r="C300" s="7">
        <v>4</v>
      </c>
      <c r="D300" s="7" t="s">
        <v>789</v>
      </c>
      <c r="E300" s="7" t="s">
        <v>790</v>
      </c>
      <c r="F300" s="7" t="s">
        <v>790</v>
      </c>
      <c r="G300" s="7">
        <v>230</v>
      </c>
      <c r="H300" s="7">
        <v>230</v>
      </c>
      <c r="I300" s="26" t="s">
        <v>314</v>
      </c>
      <c r="J300" s="15" t="s">
        <v>66</v>
      </c>
    </row>
    <row r="301" spans="1:10" x14ac:dyDescent="0.25">
      <c r="A301" s="7" t="s">
        <v>784</v>
      </c>
      <c r="B301" s="7" t="s">
        <v>132</v>
      </c>
      <c r="C301" s="7">
        <v>5</v>
      </c>
      <c r="D301" s="7" t="s">
        <v>241</v>
      </c>
      <c r="E301" s="7" t="s">
        <v>791</v>
      </c>
      <c r="F301" s="7" t="s">
        <v>791</v>
      </c>
      <c r="G301" s="7">
        <v>240</v>
      </c>
      <c r="H301" s="7">
        <v>240</v>
      </c>
      <c r="I301" s="26" t="s">
        <v>314</v>
      </c>
      <c r="J301" s="15" t="s">
        <v>66</v>
      </c>
    </row>
    <row r="302" spans="1:10" x14ac:dyDescent="0.25">
      <c r="A302" s="7" t="s">
        <v>784</v>
      </c>
      <c r="B302" s="7" t="s">
        <v>132</v>
      </c>
      <c r="C302" s="7">
        <v>6</v>
      </c>
      <c r="D302" s="7" t="s">
        <v>733</v>
      </c>
      <c r="E302" s="7" t="s">
        <v>792</v>
      </c>
      <c r="F302" s="7" t="s">
        <v>792</v>
      </c>
      <c r="G302" s="7">
        <v>45</v>
      </c>
      <c r="H302" s="7">
        <v>45</v>
      </c>
      <c r="I302" s="26" t="s">
        <v>314</v>
      </c>
      <c r="J302" s="15" t="s">
        <v>66</v>
      </c>
    </row>
    <row r="303" spans="1:10" x14ac:dyDescent="0.25">
      <c r="A303" s="7" t="s">
        <v>784</v>
      </c>
      <c r="B303" s="7" t="s">
        <v>132</v>
      </c>
      <c r="C303" s="7">
        <v>7</v>
      </c>
      <c r="D303" s="7" t="s">
        <v>731</v>
      </c>
      <c r="E303" s="7" t="s">
        <v>793</v>
      </c>
      <c r="F303" s="7" t="s">
        <v>793</v>
      </c>
      <c r="G303" s="7">
        <v>120</v>
      </c>
      <c r="H303" s="7">
        <v>120</v>
      </c>
      <c r="I303" s="26" t="s">
        <v>314</v>
      </c>
      <c r="J303" s="15" t="s">
        <v>66</v>
      </c>
    </row>
    <row r="304" spans="1:10" x14ac:dyDescent="0.25">
      <c r="A304" s="7" t="s">
        <v>784</v>
      </c>
      <c r="B304" s="7" t="s">
        <v>132</v>
      </c>
      <c r="C304" s="7">
        <v>8</v>
      </c>
      <c r="D304" s="7" t="s">
        <v>794</v>
      </c>
      <c r="E304" s="7" t="s">
        <v>795</v>
      </c>
      <c r="F304" s="7" t="s">
        <v>795</v>
      </c>
      <c r="G304" s="7">
        <v>140</v>
      </c>
      <c r="H304" s="7">
        <v>140</v>
      </c>
      <c r="I304" s="26" t="s">
        <v>314</v>
      </c>
      <c r="J304" s="15" t="s">
        <v>66</v>
      </c>
    </row>
    <row r="305" spans="1:10" x14ac:dyDescent="0.25">
      <c r="A305" s="7" t="s">
        <v>784</v>
      </c>
      <c r="B305" s="7" t="s">
        <v>132</v>
      </c>
      <c r="C305" s="7">
        <v>9</v>
      </c>
      <c r="D305" s="7" t="s">
        <v>796</v>
      </c>
      <c r="E305" s="7" t="s">
        <v>797</v>
      </c>
      <c r="F305" s="7" t="s">
        <v>797</v>
      </c>
      <c r="G305" s="7">
        <v>1100</v>
      </c>
      <c r="H305" s="7">
        <v>1100</v>
      </c>
      <c r="I305" s="26" t="s">
        <v>314</v>
      </c>
      <c r="J305" s="15" t="s">
        <v>66</v>
      </c>
    </row>
    <row r="306" spans="1:10" x14ac:dyDescent="0.25">
      <c r="A306" s="7" t="s">
        <v>784</v>
      </c>
      <c r="B306" s="7" t="s">
        <v>132</v>
      </c>
      <c r="C306" s="7">
        <v>10</v>
      </c>
      <c r="D306" s="7" t="s">
        <v>798</v>
      </c>
      <c r="E306" s="7" t="s">
        <v>799</v>
      </c>
      <c r="F306" s="7" t="s">
        <v>799</v>
      </c>
      <c r="G306" s="7">
        <v>1100</v>
      </c>
      <c r="H306" s="7">
        <v>1100</v>
      </c>
      <c r="I306" s="26" t="s">
        <v>314</v>
      </c>
      <c r="J306" s="15" t="s">
        <v>66</v>
      </c>
    </row>
    <row r="307" spans="1:10" x14ac:dyDescent="0.25">
      <c r="A307" s="7" t="s">
        <v>784</v>
      </c>
      <c r="B307" s="7" t="s">
        <v>132</v>
      </c>
      <c r="C307" s="7">
        <v>11</v>
      </c>
      <c r="D307" s="7" t="s">
        <v>800</v>
      </c>
      <c r="E307" s="7" t="s">
        <v>801</v>
      </c>
      <c r="F307" s="7" t="s">
        <v>801</v>
      </c>
      <c r="G307" s="7">
        <v>180</v>
      </c>
      <c r="H307" s="7">
        <v>180</v>
      </c>
      <c r="I307" s="26" t="s">
        <v>314</v>
      </c>
      <c r="J307" s="15" t="s">
        <v>66</v>
      </c>
    </row>
    <row r="308" spans="1:10" x14ac:dyDescent="0.25">
      <c r="A308" s="7" t="s">
        <v>784</v>
      </c>
      <c r="B308" s="7" t="s">
        <v>132</v>
      </c>
      <c r="C308" s="7">
        <v>12</v>
      </c>
      <c r="D308" s="7" t="s">
        <v>748</v>
      </c>
      <c r="E308" s="7" t="s">
        <v>802</v>
      </c>
      <c r="F308" s="7" t="s">
        <v>802</v>
      </c>
      <c r="G308" s="7">
        <v>100</v>
      </c>
      <c r="H308" s="7">
        <v>100</v>
      </c>
      <c r="I308" s="26" t="s">
        <v>314</v>
      </c>
      <c r="J308" s="15" t="s">
        <v>66</v>
      </c>
    </row>
    <row r="309" spans="1:10" x14ac:dyDescent="0.25">
      <c r="A309" s="7" t="s">
        <v>784</v>
      </c>
      <c r="B309" s="7" t="s">
        <v>132</v>
      </c>
      <c r="C309" s="7">
        <v>13</v>
      </c>
      <c r="D309" s="7" t="s">
        <v>803</v>
      </c>
      <c r="E309" s="7" t="s">
        <v>804</v>
      </c>
      <c r="F309" s="7" t="s">
        <v>804</v>
      </c>
      <c r="G309" s="7">
        <v>50</v>
      </c>
      <c r="H309" s="7">
        <v>50</v>
      </c>
      <c r="I309" s="26" t="s">
        <v>314</v>
      </c>
      <c r="J309" s="15" t="s">
        <v>66</v>
      </c>
    </row>
    <row r="310" spans="1:10" x14ac:dyDescent="0.25">
      <c r="A310" s="7" t="s">
        <v>784</v>
      </c>
      <c r="B310" s="7" t="s">
        <v>132</v>
      </c>
      <c r="C310" s="7">
        <v>14</v>
      </c>
      <c r="D310" s="7" t="s">
        <v>805</v>
      </c>
      <c r="E310" s="7" t="s">
        <v>806</v>
      </c>
      <c r="F310" s="7" t="s">
        <v>806</v>
      </c>
      <c r="G310" s="7">
        <v>330</v>
      </c>
      <c r="H310" s="7">
        <v>330</v>
      </c>
      <c r="I310" s="26" t="s">
        <v>314</v>
      </c>
      <c r="J310" s="15" t="s">
        <v>66</v>
      </c>
    </row>
    <row r="311" spans="1:10" x14ac:dyDescent="0.25">
      <c r="A311" s="7" t="s">
        <v>784</v>
      </c>
      <c r="B311" s="7" t="s">
        <v>132</v>
      </c>
      <c r="C311" s="7">
        <v>15</v>
      </c>
      <c r="D311" s="7" t="s">
        <v>552</v>
      </c>
      <c r="E311" s="7" t="s">
        <v>807</v>
      </c>
      <c r="F311" s="7" t="s">
        <v>807</v>
      </c>
      <c r="G311" s="7">
        <v>55</v>
      </c>
      <c r="H311" s="7">
        <v>55</v>
      </c>
      <c r="I311" s="26" t="s">
        <v>314</v>
      </c>
      <c r="J311" s="15" t="s">
        <v>66</v>
      </c>
    </row>
    <row r="312" spans="1:10" x14ac:dyDescent="0.25">
      <c r="A312" s="7" t="s">
        <v>784</v>
      </c>
      <c r="B312" s="7" t="s">
        <v>132</v>
      </c>
      <c r="C312" s="7">
        <v>16</v>
      </c>
      <c r="D312" s="7" t="s">
        <v>808</v>
      </c>
      <c r="E312" s="7" t="s">
        <v>809</v>
      </c>
      <c r="F312" s="7" t="s">
        <v>809</v>
      </c>
      <c r="G312" s="7">
        <v>28</v>
      </c>
      <c r="H312" s="7">
        <v>28</v>
      </c>
      <c r="I312" s="26" t="s">
        <v>314</v>
      </c>
      <c r="J312" s="15" t="s">
        <v>66</v>
      </c>
    </row>
    <row r="313" spans="1:10" x14ac:dyDescent="0.25">
      <c r="A313" s="7" t="s">
        <v>810</v>
      </c>
      <c r="B313" s="7" t="s">
        <v>132</v>
      </c>
      <c r="C313" s="7">
        <v>1</v>
      </c>
      <c r="D313" s="7" t="s">
        <v>811</v>
      </c>
      <c r="E313" s="7" t="s">
        <v>812</v>
      </c>
      <c r="F313" s="7" t="s">
        <v>812</v>
      </c>
      <c r="G313" s="7">
        <v>1250</v>
      </c>
      <c r="H313" s="7">
        <v>1250</v>
      </c>
      <c r="I313" s="26" t="s">
        <v>314</v>
      </c>
      <c r="J313" s="15" t="s">
        <v>66</v>
      </c>
    </row>
    <row r="314" spans="1:10" x14ac:dyDescent="0.25">
      <c r="A314" s="7" t="s">
        <v>810</v>
      </c>
      <c r="B314" s="7" t="s">
        <v>132</v>
      </c>
      <c r="C314" s="7">
        <v>2</v>
      </c>
      <c r="D314" s="7" t="s">
        <v>813</v>
      </c>
      <c r="E314" s="7" t="s">
        <v>814</v>
      </c>
      <c r="F314" s="7" t="s">
        <v>814</v>
      </c>
      <c r="G314" s="7">
        <v>85</v>
      </c>
      <c r="H314" s="7">
        <v>85</v>
      </c>
      <c r="I314" s="26" t="s">
        <v>314</v>
      </c>
      <c r="J314" s="15" t="s">
        <v>66</v>
      </c>
    </row>
    <row r="315" spans="1:10" x14ac:dyDescent="0.25">
      <c r="A315" s="7" t="s">
        <v>810</v>
      </c>
      <c r="B315" s="7" t="s">
        <v>132</v>
      </c>
      <c r="C315" s="7">
        <v>3</v>
      </c>
      <c r="D315" s="7" t="s">
        <v>815</v>
      </c>
      <c r="E315" s="7" t="s">
        <v>816</v>
      </c>
      <c r="F315" s="7" t="s">
        <v>816</v>
      </c>
      <c r="G315" s="7">
        <v>85</v>
      </c>
      <c r="H315" s="7">
        <v>85</v>
      </c>
      <c r="I315" s="26" t="s">
        <v>314</v>
      </c>
      <c r="J315" s="15" t="s">
        <v>66</v>
      </c>
    </row>
    <row r="316" spans="1:10" x14ac:dyDescent="0.25">
      <c r="A316" s="7" t="s">
        <v>810</v>
      </c>
      <c r="B316" s="7" t="s">
        <v>132</v>
      </c>
      <c r="C316" s="7">
        <v>4</v>
      </c>
      <c r="D316" s="7" t="s">
        <v>817</v>
      </c>
      <c r="E316" s="7" t="s">
        <v>818</v>
      </c>
      <c r="F316" s="7" t="s">
        <v>818</v>
      </c>
      <c r="G316" s="7">
        <v>130</v>
      </c>
      <c r="H316" s="7">
        <v>130</v>
      </c>
      <c r="I316" s="26" t="s">
        <v>314</v>
      </c>
      <c r="J316" s="15" t="s">
        <v>66</v>
      </c>
    </row>
    <row r="317" spans="1:10" x14ac:dyDescent="0.25">
      <c r="A317" s="7" t="s">
        <v>810</v>
      </c>
      <c r="B317" s="7" t="s">
        <v>132</v>
      </c>
      <c r="C317" s="7">
        <v>5</v>
      </c>
      <c r="D317" s="7" t="s">
        <v>819</v>
      </c>
      <c r="E317" s="7" t="s">
        <v>820</v>
      </c>
      <c r="F317" s="7" t="s">
        <v>820</v>
      </c>
      <c r="G317" s="7">
        <v>60</v>
      </c>
      <c r="H317" s="7">
        <v>60</v>
      </c>
      <c r="I317" s="26" t="s">
        <v>314</v>
      </c>
      <c r="J317" s="15" t="s">
        <v>66</v>
      </c>
    </row>
    <row r="318" spans="1:10" x14ac:dyDescent="0.25">
      <c r="A318" s="7" t="s">
        <v>810</v>
      </c>
      <c r="B318" s="7" t="s">
        <v>132</v>
      </c>
      <c r="C318" s="7">
        <v>6</v>
      </c>
      <c r="D318" s="7" t="s">
        <v>821</v>
      </c>
      <c r="E318" s="7" t="s">
        <v>822</v>
      </c>
      <c r="F318" s="7" t="s">
        <v>822</v>
      </c>
      <c r="G318" s="7">
        <v>125</v>
      </c>
      <c r="H318" s="7">
        <v>125</v>
      </c>
      <c r="I318" s="26" t="s">
        <v>314</v>
      </c>
      <c r="J318" s="15" t="s">
        <v>66</v>
      </c>
    </row>
    <row r="319" spans="1:10" x14ac:dyDescent="0.25">
      <c r="A319" s="7" t="s">
        <v>810</v>
      </c>
      <c r="B319" s="7" t="s">
        <v>132</v>
      </c>
      <c r="C319" s="7">
        <v>7</v>
      </c>
      <c r="D319" s="7" t="s">
        <v>823</v>
      </c>
      <c r="E319" s="7" t="s">
        <v>824</v>
      </c>
      <c r="F319" s="7" t="s">
        <v>824</v>
      </c>
      <c r="G319" s="7">
        <v>950</v>
      </c>
      <c r="H319" s="7">
        <v>950</v>
      </c>
      <c r="I319" s="26" t="s">
        <v>314</v>
      </c>
      <c r="J319" s="15" t="s">
        <v>66</v>
      </c>
    </row>
    <row r="320" spans="1:10" x14ac:dyDescent="0.25">
      <c r="A320" s="7" t="s">
        <v>810</v>
      </c>
      <c r="B320" s="7" t="s">
        <v>132</v>
      </c>
      <c r="C320" s="7">
        <v>8</v>
      </c>
      <c r="D320" s="7" t="s">
        <v>825</v>
      </c>
      <c r="E320" s="7" t="s">
        <v>826</v>
      </c>
      <c r="F320" s="7" t="s">
        <v>826</v>
      </c>
      <c r="G320" s="7">
        <v>65</v>
      </c>
      <c r="H320" s="7">
        <v>65</v>
      </c>
      <c r="I320" s="26" t="s">
        <v>314</v>
      </c>
      <c r="J320" s="15" t="s">
        <v>66</v>
      </c>
    </row>
    <row r="321" spans="1:10" x14ac:dyDescent="0.25">
      <c r="A321" s="7" t="s">
        <v>810</v>
      </c>
      <c r="B321" s="7" t="s">
        <v>132</v>
      </c>
      <c r="C321" s="7">
        <v>9</v>
      </c>
      <c r="D321" s="7" t="s">
        <v>827</v>
      </c>
      <c r="E321" s="7" t="s">
        <v>828</v>
      </c>
      <c r="F321" s="7" t="s">
        <v>828</v>
      </c>
      <c r="G321" s="7">
        <v>65</v>
      </c>
      <c r="H321" s="7">
        <v>65</v>
      </c>
      <c r="I321" s="26" t="s">
        <v>314</v>
      </c>
      <c r="J321" s="15" t="s">
        <v>66</v>
      </c>
    </row>
    <row r="322" spans="1:10" x14ac:dyDescent="0.25">
      <c r="A322" s="7" t="s">
        <v>810</v>
      </c>
      <c r="B322" s="7" t="s">
        <v>132</v>
      </c>
      <c r="C322" s="7">
        <v>10</v>
      </c>
      <c r="D322" s="7" t="s">
        <v>829</v>
      </c>
      <c r="E322" s="7" t="s">
        <v>830</v>
      </c>
      <c r="F322" s="7" t="s">
        <v>830</v>
      </c>
      <c r="G322" s="7">
        <v>5</v>
      </c>
      <c r="H322" s="7">
        <v>5</v>
      </c>
      <c r="I322" s="26" t="s">
        <v>314</v>
      </c>
      <c r="J322" s="15" t="s">
        <v>66</v>
      </c>
    </row>
    <row r="323" spans="1:10" x14ac:dyDescent="0.25">
      <c r="A323" s="7" t="s">
        <v>810</v>
      </c>
      <c r="B323" s="7" t="s">
        <v>132</v>
      </c>
      <c r="C323" s="7">
        <v>11</v>
      </c>
      <c r="D323" s="7" t="s">
        <v>831</v>
      </c>
      <c r="E323" s="7" t="s">
        <v>832</v>
      </c>
      <c r="F323" s="7" t="s">
        <v>832</v>
      </c>
      <c r="G323" s="7">
        <v>580</v>
      </c>
      <c r="H323" s="7">
        <v>580</v>
      </c>
      <c r="I323" s="26" t="s">
        <v>314</v>
      </c>
      <c r="J323" s="15" t="s">
        <v>66</v>
      </c>
    </row>
    <row r="324" spans="1:10" x14ac:dyDescent="0.25">
      <c r="A324" s="7" t="s">
        <v>810</v>
      </c>
      <c r="B324" s="7" t="s">
        <v>132</v>
      </c>
      <c r="C324" s="7">
        <v>12</v>
      </c>
      <c r="D324" s="7" t="s">
        <v>833</v>
      </c>
      <c r="E324" s="7" t="s">
        <v>834</v>
      </c>
      <c r="F324" s="7" t="s">
        <v>834</v>
      </c>
      <c r="G324" s="7">
        <v>2450</v>
      </c>
      <c r="H324" s="7">
        <v>2450</v>
      </c>
      <c r="I324" s="26" t="s">
        <v>314</v>
      </c>
      <c r="J324" s="15" t="s">
        <v>66</v>
      </c>
    </row>
    <row r="325" spans="1:10" x14ac:dyDescent="0.25">
      <c r="A325" s="7" t="s">
        <v>810</v>
      </c>
      <c r="B325" s="7" t="s">
        <v>132</v>
      </c>
      <c r="C325" s="7">
        <v>13</v>
      </c>
      <c r="D325" s="7" t="s">
        <v>835</v>
      </c>
      <c r="E325" s="7" t="s">
        <v>836</v>
      </c>
      <c r="F325" s="7" t="s">
        <v>836</v>
      </c>
      <c r="G325" s="7">
        <v>2450</v>
      </c>
      <c r="H325" s="7">
        <v>2450</v>
      </c>
      <c r="I325" s="26" t="s">
        <v>314</v>
      </c>
      <c r="J325" s="15" t="s">
        <v>66</v>
      </c>
    </row>
    <row r="326" spans="1:10" x14ac:dyDescent="0.25">
      <c r="A326" s="7" t="s">
        <v>810</v>
      </c>
      <c r="B326" s="7" t="s">
        <v>132</v>
      </c>
      <c r="C326" s="7">
        <v>14</v>
      </c>
      <c r="D326" s="7" t="s">
        <v>837</v>
      </c>
      <c r="E326" s="7" t="s">
        <v>838</v>
      </c>
      <c r="F326" s="7" t="s">
        <v>838</v>
      </c>
      <c r="G326" s="7">
        <v>350</v>
      </c>
      <c r="H326" s="7">
        <v>350</v>
      </c>
      <c r="I326" s="26" t="s">
        <v>314</v>
      </c>
      <c r="J326" s="15" t="s">
        <v>66</v>
      </c>
    </row>
    <row r="327" spans="1:10" x14ac:dyDescent="0.25">
      <c r="A327" s="7" t="s">
        <v>810</v>
      </c>
      <c r="B327" s="7" t="s">
        <v>132</v>
      </c>
      <c r="C327" s="7">
        <v>15</v>
      </c>
      <c r="D327" s="7" t="s">
        <v>839</v>
      </c>
      <c r="E327" s="7" t="s">
        <v>840</v>
      </c>
      <c r="F327" s="7" t="s">
        <v>840</v>
      </c>
      <c r="G327" s="7">
        <v>95</v>
      </c>
      <c r="H327" s="7">
        <v>95</v>
      </c>
      <c r="I327" s="26" t="s">
        <v>314</v>
      </c>
      <c r="J327" s="15" t="s">
        <v>66</v>
      </c>
    </row>
    <row r="328" spans="1:10" x14ac:dyDescent="0.25">
      <c r="A328" s="7" t="s">
        <v>810</v>
      </c>
      <c r="B328" s="7" t="s">
        <v>132</v>
      </c>
      <c r="C328" s="7">
        <v>16</v>
      </c>
      <c r="D328" s="7" t="s">
        <v>841</v>
      </c>
      <c r="E328" s="7" t="s">
        <v>842</v>
      </c>
      <c r="F328" s="7" t="s">
        <v>842</v>
      </c>
      <c r="G328" s="7">
        <v>75</v>
      </c>
      <c r="H328" s="7">
        <v>75</v>
      </c>
      <c r="I328" s="26" t="s">
        <v>314</v>
      </c>
      <c r="J328" s="15" t="s">
        <v>66</v>
      </c>
    </row>
    <row r="329" spans="1:10" x14ac:dyDescent="0.25">
      <c r="A329" s="7" t="s">
        <v>810</v>
      </c>
      <c r="B329" s="7" t="s">
        <v>132</v>
      </c>
      <c r="C329" s="7">
        <v>17</v>
      </c>
      <c r="D329" s="7" t="s">
        <v>843</v>
      </c>
      <c r="E329" s="7" t="s">
        <v>844</v>
      </c>
      <c r="F329" s="7" t="s">
        <v>844</v>
      </c>
      <c r="G329" s="7">
        <v>75</v>
      </c>
      <c r="H329" s="7">
        <v>75</v>
      </c>
      <c r="I329" s="26" t="s">
        <v>314</v>
      </c>
      <c r="J329" s="15" t="s">
        <v>66</v>
      </c>
    </row>
    <row r="330" spans="1:10" x14ac:dyDescent="0.25">
      <c r="A330" s="7" t="s">
        <v>810</v>
      </c>
      <c r="B330" s="7" t="s">
        <v>132</v>
      </c>
      <c r="C330" s="7">
        <v>18</v>
      </c>
      <c r="D330" s="7" t="s">
        <v>845</v>
      </c>
      <c r="E330" s="7" t="s">
        <v>846</v>
      </c>
      <c r="F330" s="7" t="s">
        <v>846</v>
      </c>
      <c r="G330" s="7">
        <v>480</v>
      </c>
      <c r="H330" s="7">
        <v>480</v>
      </c>
      <c r="I330" s="26" t="s">
        <v>314</v>
      </c>
      <c r="J330" s="15" t="s">
        <v>66</v>
      </c>
    </row>
    <row r="331" spans="1:10" x14ac:dyDescent="0.25">
      <c r="A331" s="7" t="s">
        <v>810</v>
      </c>
      <c r="B331" s="7" t="s">
        <v>132</v>
      </c>
      <c r="C331" s="7">
        <v>19</v>
      </c>
      <c r="D331" s="7" t="s">
        <v>847</v>
      </c>
      <c r="E331" s="7" t="s">
        <v>848</v>
      </c>
      <c r="F331" s="7" t="s">
        <v>848</v>
      </c>
      <c r="G331" s="7">
        <v>620</v>
      </c>
      <c r="H331" s="7">
        <v>620</v>
      </c>
      <c r="I331" s="26" t="s">
        <v>314</v>
      </c>
      <c r="J331" s="15" t="s">
        <v>66</v>
      </c>
    </row>
    <row r="332" spans="1:10" x14ac:dyDescent="0.25">
      <c r="A332" s="7" t="s">
        <v>810</v>
      </c>
      <c r="B332" s="7" t="s">
        <v>132</v>
      </c>
      <c r="C332" s="7">
        <v>20</v>
      </c>
      <c r="D332" s="7" t="s">
        <v>843</v>
      </c>
      <c r="E332" s="7" t="s">
        <v>849</v>
      </c>
      <c r="F332" s="7" t="s">
        <v>849</v>
      </c>
      <c r="G332" s="7">
        <v>95</v>
      </c>
      <c r="H332" s="7">
        <v>95</v>
      </c>
      <c r="I332" s="26" t="s">
        <v>314</v>
      </c>
      <c r="J332" s="15" t="s">
        <v>66</v>
      </c>
    </row>
    <row r="333" spans="1:10" x14ac:dyDescent="0.25">
      <c r="A333" s="7" t="s">
        <v>810</v>
      </c>
      <c r="B333" s="7" t="s">
        <v>132</v>
      </c>
      <c r="C333" s="7">
        <v>21</v>
      </c>
      <c r="D333" s="7" t="s">
        <v>841</v>
      </c>
      <c r="E333" s="7" t="s">
        <v>850</v>
      </c>
      <c r="F333" s="7" t="s">
        <v>850</v>
      </c>
      <c r="G333" s="7">
        <v>95</v>
      </c>
      <c r="H333" s="7">
        <v>95</v>
      </c>
      <c r="I333" s="26" t="s">
        <v>314</v>
      </c>
      <c r="J333" s="15" t="s">
        <v>66</v>
      </c>
    </row>
    <row r="334" spans="1:10" x14ac:dyDescent="0.25">
      <c r="A334" s="7" t="s">
        <v>810</v>
      </c>
      <c r="B334" s="7" t="s">
        <v>132</v>
      </c>
      <c r="C334" s="7">
        <v>22</v>
      </c>
      <c r="D334" s="7" t="s">
        <v>851</v>
      </c>
      <c r="E334" s="7" t="s">
        <v>852</v>
      </c>
      <c r="F334" s="7" t="s">
        <v>852</v>
      </c>
      <c r="G334" s="7">
        <v>980</v>
      </c>
      <c r="H334" s="7">
        <v>980</v>
      </c>
      <c r="I334" s="26" t="s">
        <v>314</v>
      </c>
      <c r="J334" s="15" t="s">
        <v>66</v>
      </c>
    </row>
    <row r="335" spans="1:10" x14ac:dyDescent="0.25">
      <c r="A335" s="7" t="s">
        <v>810</v>
      </c>
      <c r="B335" s="7" t="s">
        <v>132</v>
      </c>
      <c r="C335" s="7">
        <v>23</v>
      </c>
      <c r="D335" s="7" t="s">
        <v>853</v>
      </c>
      <c r="E335" s="7" t="s">
        <v>854</v>
      </c>
      <c r="F335" s="7" t="s">
        <v>854</v>
      </c>
      <c r="G335" s="7">
        <v>65</v>
      </c>
      <c r="H335" s="7">
        <v>65</v>
      </c>
      <c r="I335" s="26" t="s">
        <v>314</v>
      </c>
      <c r="J335" s="15" t="s">
        <v>66</v>
      </c>
    </row>
    <row r="336" spans="1:10" x14ac:dyDescent="0.25">
      <c r="A336" s="7" t="s">
        <v>810</v>
      </c>
      <c r="B336" s="7" t="s">
        <v>132</v>
      </c>
      <c r="C336" s="7">
        <v>24</v>
      </c>
      <c r="D336" s="7" t="s">
        <v>855</v>
      </c>
      <c r="E336" s="7" t="s">
        <v>856</v>
      </c>
      <c r="F336" s="7" t="s">
        <v>856</v>
      </c>
      <c r="G336" s="7">
        <v>65</v>
      </c>
      <c r="H336" s="7">
        <v>65</v>
      </c>
      <c r="I336" s="26" t="s">
        <v>314</v>
      </c>
      <c r="J336" s="15" t="s">
        <v>66</v>
      </c>
    </row>
    <row r="337" spans="1:10" x14ac:dyDescent="0.25">
      <c r="A337" s="7" t="s">
        <v>810</v>
      </c>
      <c r="B337" s="7" t="s">
        <v>132</v>
      </c>
      <c r="C337" s="7">
        <v>25</v>
      </c>
      <c r="D337" s="7" t="s">
        <v>857</v>
      </c>
      <c r="E337" s="7" t="s">
        <v>858</v>
      </c>
      <c r="F337" s="7" t="s">
        <v>858</v>
      </c>
      <c r="G337" s="7">
        <v>15</v>
      </c>
      <c r="H337" s="7">
        <v>15</v>
      </c>
      <c r="I337" s="26" t="s">
        <v>314</v>
      </c>
      <c r="J337" s="15" t="s">
        <v>66</v>
      </c>
    </row>
    <row r="338" spans="1:10" x14ac:dyDescent="0.25">
      <c r="A338" s="7" t="s">
        <v>810</v>
      </c>
      <c r="B338" s="7" t="s">
        <v>132</v>
      </c>
      <c r="C338" s="7">
        <v>26</v>
      </c>
      <c r="D338" s="7" t="s">
        <v>859</v>
      </c>
      <c r="E338" s="7" t="s">
        <v>860</v>
      </c>
      <c r="F338" s="7" t="s">
        <v>860</v>
      </c>
      <c r="G338" s="7">
        <v>820</v>
      </c>
      <c r="H338" s="7">
        <v>820</v>
      </c>
      <c r="I338" s="26" t="s">
        <v>314</v>
      </c>
      <c r="J338" s="15" t="s">
        <v>66</v>
      </c>
    </row>
    <row r="339" spans="1:10" x14ac:dyDescent="0.25">
      <c r="A339" s="7" t="s">
        <v>861</v>
      </c>
      <c r="B339" s="7" t="s">
        <v>132</v>
      </c>
      <c r="C339" s="7">
        <v>1</v>
      </c>
      <c r="D339" s="7" t="s">
        <v>333</v>
      </c>
      <c r="E339" s="7" t="s">
        <v>334</v>
      </c>
      <c r="F339" s="7" t="s">
        <v>334</v>
      </c>
      <c r="G339" s="7">
        <v>41.38</v>
      </c>
      <c r="H339" s="7">
        <v>41.38</v>
      </c>
      <c r="I339" s="26" t="s">
        <v>314</v>
      </c>
      <c r="J339" s="15" t="s">
        <v>66</v>
      </c>
    </row>
    <row r="340" spans="1:10" x14ac:dyDescent="0.25">
      <c r="A340" s="7" t="s">
        <v>861</v>
      </c>
      <c r="B340" s="7" t="s">
        <v>132</v>
      </c>
      <c r="C340" s="7">
        <v>2</v>
      </c>
      <c r="D340" s="7" t="s">
        <v>335</v>
      </c>
      <c r="E340" s="7" t="s">
        <v>135</v>
      </c>
      <c r="F340" s="7" t="s">
        <v>135</v>
      </c>
      <c r="G340" s="7">
        <v>121.49</v>
      </c>
      <c r="H340" s="7">
        <v>121.49</v>
      </c>
      <c r="I340" s="26" t="s">
        <v>314</v>
      </c>
      <c r="J340" s="15" t="s">
        <v>66</v>
      </c>
    </row>
    <row r="341" spans="1:10" x14ac:dyDescent="0.25">
      <c r="A341" s="7" t="s">
        <v>861</v>
      </c>
      <c r="B341" s="7" t="s">
        <v>132</v>
      </c>
      <c r="C341" s="7">
        <v>3</v>
      </c>
      <c r="D341" s="7" t="s">
        <v>670</v>
      </c>
      <c r="E341" s="7" t="s">
        <v>671</v>
      </c>
      <c r="F341" s="7" t="s">
        <v>671</v>
      </c>
      <c r="G341" s="7">
        <v>212.65</v>
      </c>
      <c r="H341" s="7">
        <v>212.65</v>
      </c>
      <c r="I341" s="26" t="s">
        <v>314</v>
      </c>
      <c r="J341" s="15" t="s">
        <v>66</v>
      </c>
    </row>
    <row r="342" spans="1:10" x14ac:dyDescent="0.25">
      <c r="A342" s="7" t="s">
        <v>861</v>
      </c>
      <c r="B342" s="7" t="s">
        <v>132</v>
      </c>
      <c r="C342" s="7">
        <v>4</v>
      </c>
      <c r="D342" s="7" t="s">
        <v>672</v>
      </c>
      <c r="E342" s="7" t="s">
        <v>673</v>
      </c>
      <c r="F342" s="7" t="s">
        <v>673</v>
      </c>
      <c r="G342" s="7">
        <v>212.65</v>
      </c>
      <c r="H342" s="7">
        <v>212.65</v>
      </c>
      <c r="I342" s="26" t="s">
        <v>314</v>
      </c>
      <c r="J342" s="15" t="s">
        <v>66</v>
      </c>
    </row>
    <row r="343" spans="1:10" x14ac:dyDescent="0.25">
      <c r="A343" s="7" t="s">
        <v>861</v>
      </c>
      <c r="B343" s="7" t="s">
        <v>132</v>
      </c>
      <c r="C343" s="7">
        <v>5</v>
      </c>
      <c r="D343" s="7" t="s">
        <v>694</v>
      </c>
      <c r="E343" s="7" t="s">
        <v>695</v>
      </c>
      <c r="F343" s="7" t="s">
        <v>695</v>
      </c>
      <c r="G343" s="7">
        <v>60.19</v>
      </c>
      <c r="H343" s="7">
        <v>60.19</v>
      </c>
      <c r="I343" s="26" t="s">
        <v>314</v>
      </c>
      <c r="J343" s="15" t="s">
        <v>66</v>
      </c>
    </row>
    <row r="344" spans="1:10" x14ac:dyDescent="0.25">
      <c r="A344" s="7" t="s">
        <v>861</v>
      </c>
      <c r="B344" s="7" t="s">
        <v>132</v>
      </c>
      <c r="C344" s="7">
        <v>6</v>
      </c>
      <c r="D344" s="7" t="s">
        <v>678</v>
      </c>
      <c r="E344" s="7" t="s">
        <v>144</v>
      </c>
      <c r="F344" s="7" t="s">
        <v>144</v>
      </c>
      <c r="G344" s="7">
        <v>24.82</v>
      </c>
      <c r="H344" s="7">
        <v>24.82</v>
      </c>
      <c r="I344" s="26" t="s">
        <v>314</v>
      </c>
      <c r="J344" s="15" t="s">
        <v>66</v>
      </c>
    </row>
    <row r="345" spans="1:10" x14ac:dyDescent="0.25">
      <c r="A345" s="7" t="s">
        <v>861</v>
      </c>
      <c r="B345" s="7" t="s">
        <v>132</v>
      </c>
      <c r="C345" s="7">
        <v>7</v>
      </c>
      <c r="D345" s="7" t="s">
        <v>680</v>
      </c>
      <c r="E345" s="7" t="s">
        <v>681</v>
      </c>
      <c r="F345" s="7" t="s">
        <v>681</v>
      </c>
      <c r="G345" s="7">
        <v>436.29</v>
      </c>
      <c r="H345" s="7">
        <v>436.29</v>
      </c>
      <c r="I345" s="26" t="s">
        <v>314</v>
      </c>
      <c r="J345" s="15" t="s">
        <v>66</v>
      </c>
    </row>
    <row r="346" spans="1:10" x14ac:dyDescent="0.25">
      <c r="A346" s="7" t="s">
        <v>861</v>
      </c>
      <c r="B346" s="7" t="s">
        <v>132</v>
      </c>
      <c r="C346" s="7">
        <v>8</v>
      </c>
      <c r="D346" s="7" t="s">
        <v>560</v>
      </c>
      <c r="E346" s="7" t="s">
        <v>561</v>
      </c>
      <c r="F346" s="7" t="s">
        <v>561</v>
      </c>
      <c r="G346" s="7">
        <v>1741</v>
      </c>
      <c r="H346" s="7">
        <v>1741</v>
      </c>
      <c r="I346" s="26" t="s">
        <v>314</v>
      </c>
      <c r="J346" s="15" t="s">
        <v>66</v>
      </c>
    </row>
    <row r="347" spans="1:10" x14ac:dyDescent="0.25">
      <c r="A347" s="7" t="s">
        <v>861</v>
      </c>
      <c r="B347" s="7" t="s">
        <v>132</v>
      </c>
      <c r="C347" s="7">
        <v>9</v>
      </c>
      <c r="D347" s="7" t="s">
        <v>862</v>
      </c>
      <c r="E347" s="7" t="s">
        <v>699</v>
      </c>
      <c r="F347" s="7" t="s">
        <v>699</v>
      </c>
      <c r="G347" s="7">
        <v>182.04</v>
      </c>
      <c r="H347" s="7">
        <v>182.04</v>
      </c>
      <c r="I347" s="26" t="s">
        <v>314</v>
      </c>
      <c r="J347" s="15" t="s">
        <v>66</v>
      </c>
    </row>
    <row r="348" spans="1:10" x14ac:dyDescent="0.25">
      <c r="A348" s="7" t="s">
        <v>861</v>
      </c>
      <c r="B348" s="7" t="s">
        <v>132</v>
      </c>
      <c r="C348" s="7">
        <v>10</v>
      </c>
      <c r="D348" s="7" t="s">
        <v>690</v>
      </c>
      <c r="E348" s="7" t="s">
        <v>152</v>
      </c>
      <c r="F348" s="7" t="s">
        <v>152</v>
      </c>
      <c r="G348" s="7">
        <v>695.04</v>
      </c>
      <c r="H348" s="7">
        <v>695.04</v>
      </c>
      <c r="I348" s="26" t="s">
        <v>314</v>
      </c>
      <c r="J348" s="15" t="s">
        <v>66</v>
      </c>
    </row>
    <row r="349" spans="1:10" x14ac:dyDescent="0.25">
      <c r="A349" s="7" t="s">
        <v>863</v>
      </c>
      <c r="B349" s="7" t="s">
        <v>132</v>
      </c>
      <c r="C349" s="7">
        <v>1</v>
      </c>
      <c r="D349" s="7" t="s">
        <v>729</v>
      </c>
      <c r="E349" s="7" t="s">
        <v>730</v>
      </c>
      <c r="F349" s="7" t="s">
        <v>730</v>
      </c>
      <c r="G349" s="7">
        <v>40</v>
      </c>
      <c r="H349" s="7">
        <v>40</v>
      </c>
      <c r="I349" s="26" t="s">
        <v>314</v>
      </c>
      <c r="J349" s="15" t="s">
        <v>66</v>
      </c>
    </row>
    <row r="350" spans="1:10" x14ac:dyDescent="0.25">
      <c r="A350" s="7" t="s">
        <v>863</v>
      </c>
      <c r="B350" s="7" t="s">
        <v>132</v>
      </c>
      <c r="C350" s="7">
        <v>2</v>
      </c>
      <c r="D350" s="7" t="s">
        <v>864</v>
      </c>
      <c r="E350" s="7" t="s">
        <v>865</v>
      </c>
      <c r="F350" s="7" t="s">
        <v>865</v>
      </c>
      <c r="G350" s="7">
        <v>220</v>
      </c>
      <c r="H350" s="7">
        <v>220</v>
      </c>
      <c r="I350" s="26" t="s">
        <v>314</v>
      </c>
      <c r="J350" s="15" t="s">
        <v>66</v>
      </c>
    </row>
    <row r="351" spans="1:10" x14ac:dyDescent="0.25">
      <c r="A351" s="7" t="s">
        <v>863</v>
      </c>
      <c r="B351" s="7" t="s">
        <v>132</v>
      </c>
      <c r="C351" s="7">
        <v>3</v>
      </c>
      <c r="D351" s="7" t="s">
        <v>866</v>
      </c>
      <c r="E351" s="7" t="s">
        <v>867</v>
      </c>
      <c r="F351" s="7" t="s">
        <v>867</v>
      </c>
      <c r="G351" s="7">
        <v>135</v>
      </c>
      <c r="H351" s="7">
        <v>135</v>
      </c>
      <c r="I351" s="26" t="s">
        <v>314</v>
      </c>
      <c r="J351" s="15" t="s">
        <v>66</v>
      </c>
    </row>
    <row r="352" spans="1:10" x14ac:dyDescent="0.25">
      <c r="A352" s="7" t="s">
        <v>863</v>
      </c>
      <c r="B352" s="7" t="s">
        <v>132</v>
      </c>
      <c r="C352" s="7">
        <v>4</v>
      </c>
      <c r="D352" s="7" t="s">
        <v>868</v>
      </c>
      <c r="E352" s="7" t="s">
        <v>869</v>
      </c>
      <c r="F352" s="7" t="s">
        <v>869</v>
      </c>
      <c r="G352" s="7">
        <v>50</v>
      </c>
      <c r="H352" s="7">
        <v>50</v>
      </c>
      <c r="I352" s="26" t="s">
        <v>314</v>
      </c>
      <c r="J352" s="15" t="s">
        <v>66</v>
      </c>
    </row>
    <row r="353" spans="1:10" x14ac:dyDescent="0.25">
      <c r="A353" s="7" t="s">
        <v>863</v>
      </c>
      <c r="B353" s="7" t="s">
        <v>132</v>
      </c>
      <c r="C353" s="7">
        <v>5</v>
      </c>
      <c r="D353" s="7" t="s">
        <v>870</v>
      </c>
      <c r="E353" s="7" t="s">
        <v>871</v>
      </c>
      <c r="F353" s="7" t="s">
        <v>871</v>
      </c>
      <c r="G353" s="7">
        <v>180</v>
      </c>
      <c r="H353" s="7">
        <v>180</v>
      </c>
      <c r="I353" s="26" t="s">
        <v>314</v>
      </c>
      <c r="J353" s="15" t="s">
        <v>66</v>
      </c>
    </row>
    <row r="354" spans="1:10" x14ac:dyDescent="0.25">
      <c r="A354" s="7" t="s">
        <v>863</v>
      </c>
      <c r="B354" s="7" t="s">
        <v>132</v>
      </c>
      <c r="C354" s="7">
        <v>6</v>
      </c>
      <c r="D354" s="7" t="s">
        <v>757</v>
      </c>
      <c r="E354" s="7" t="s">
        <v>872</v>
      </c>
      <c r="F354" s="7" t="s">
        <v>872</v>
      </c>
      <c r="G354" s="7">
        <v>75</v>
      </c>
      <c r="H354" s="7">
        <v>75</v>
      </c>
      <c r="I354" s="26" t="s">
        <v>314</v>
      </c>
      <c r="J354" s="15" t="s">
        <v>66</v>
      </c>
    </row>
    <row r="355" spans="1:10" x14ac:dyDescent="0.25">
      <c r="A355" s="7" t="s">
        <v>863</v>
      </c>
      <c r="B355" s="7" t="s">
        <v>132</v>
      </c>
      <c r="C355" s="7">
        <v>7</v>
      </c>
      <c r="D355" s="7" t="s">
        <v>739</v>
      </c>
      <c r="E355" s="7" t="s">
        <v>740</v>
      </c>
      <c r="F355" s="7" t="s">
        <v>740</v>
      </c>
      <c r="G355" s="7">
        <v>50</v>
      </c>
      <c r="H355" s="7">
        <v>50</v>
      </c>
      <c r="I355" s="26" t="s">
        <v>314</v>
      </c>
      <c r="J355" s="15" t="s">
        <v>66</v>
      </c>
    </row>
    <row r="356" spans="1:10" x14ac:dyDescent="0.25">
      <c r="A356" s="7" t="s">
        <v>863</v>
      </c>
      <c r="B356" s="7" t="s">
        <v>132</v>
      </c>
      <c r="C356" s="7">
        <v>8</v>
      </c>
      <c r="D356" s="7" t="s">
        <v>741</v>
      </c>
      <c r="E356" s="7" t="s">
        <v>742</v>
      </c>
      <c r="F356" s="7" t="s">
        <v>742</v>
      </c>
      <c r="G356" s="7">
        <v>50</v>
      </c>
      <c r="H356" s="7">
        <v>50</v>
      </c>
      <c r="I356" s="26" t="s">
        <v>314</v>
      </c>
      <c r="J356" s="15" t="s">
        <v>66</v>
      </c>
    </row>
    <row r="357" spans="1:10" x14ac:dyDescent="0.25">
      <c r="A357" s="7" t="s">
        <v>863</v>
      </c>
      <c r="B357" s="7" t="s">
        <v>132</v>
      </c>
      <c r="C357" s="7">
        <v>9</v>
      </c>
      <c r="D357" s="7" t="s">
        <v>873</v>
      </c>
      <c r="E357" s="7" t="s">
        <v>874</v>
      </c>
      <c r="F357" s="7" t="s">
        <v>874</v>
      </c>
      <c r="G357" s="7">
        <v>550</v>
      </c>
      <c r="H357" s="7">
        <v>550</v>
      </c>
      <c r="I357" s="26" t="s">
        <v>314</v>
      </c>
      <c r="J357" s="15" t="s">
        <v>66</v>
      </c>
    </row>
    <row r="358" spans="1:10" x14ac:dyDescent="0.25">
      <c r="A358" s="7" t="s">
        <v>875</v>
      </c>
      <c r="B358" s="7" t="s">
        <v>132</v>
      </c>
      <c r="C358" s="7">
        <v>1</v>
      </c>
      <c r="D358" s="7" t="s">
        <v>560</v>
      </c>
      <c r="E358" s="7" t="s">
        <v>561</v>
      </c>
      <c r="F358" s="7" t="s">
        <v>561</v>
      </c>
      <c r="G358" s="7">
        <v>1741</v>
      </c>
      <c r="H358" s="7">
        <v>1741</v>
      </c>
      <c r="I358" s="26" t="s">
        <v>314</v>
      </c>
      <c r="J358" s="15" t="s">
        <v>66</v>
      </c>
    </row>
    <row r="359" spans="1:10" x14ac:dyDescent="0.25">
      <c r="A359" s="7" t="s">
        <v>875</v>
      </c>
      <c r="B359" s="7" t="s">
        <v>132</v>
      </c>
      <c r="C359" s="7">
        <v>2</v>
      </c>
      <c r="D359" s="7" t="s">
        <v>876</v>
      </c>
      <c r="E359" s="7" t="s">
        <v>683</v>
      </c>
      <c r="F359" s="7" t="s">
        <v>683</v>
      </c>
      <c r="G359" s="7">
        <v>7.09</v>
      </c>
      <c r="H359" s="7">
        <v>7.09</v>
      </c>
      <c r="I359" s="26" t="s">
        <v>314</v>
      </c>
      <c r="J359" s="15" t="s">
        <v>66</v>
      </c>
    </row>
    <row r="360" spans="1:10" x14ac:dyDescent="0.25">
      <c r="A360" s="7" t="s">
        <v>875</v>
      </c>
      <c r="B360" s="7" t="s">
        <v>132</v>
      </c>
      <c r="C360" s="7">
        <v>3</v>
      </c>
      <c r="D360" s="7" t="s">
        <v>877</v>
      </c>
      <c r="E360" s="7" t="s">
        <v>878</v>
      </c>
      <c r="F360" s="7" t="s">
        <v>878</v>
      </c>
      <c r="G360" s="7">
        <v>157.22</v>
      </c>
      <c r="H360" s="7">
        <v>157.22</v>
      </c>
      <c r="I360" s="26" t="s">
        <v>314</v>
      </c>
      <c r="J360" s="15" t="s">
        <v>66</v>
      </c>
    </row>
    <row r="361" spans="1:10" x14ac:dyDescent="0.25">
      <c r="A361" s="7" t="s">
        <v>875</v>
      </c>
      <c r="B361" s="7" t="s">
        <v>132</v>
      </c>
      <c r="C361" s="7">
        <v>4</v>
      </c>
      <c r="D361" s="7" t="s">
        <v>684</v>
      </c>
      <c r="E361" s="7" t="s">
        <v>685</v>
      </c>
      <c r="F361" s="7" t="s">
        <v>685</v>
      </c>
      <c r="G361" s="7">
        <v>372.34</v>
      </c>
      <c r="H361" s="7">
        <v>372.34</v>
      </c>
      <c r="I361" s="26" t="s">
        <v>314</v>
      </c>
      <c r="J361" s="15" t="s">
        <v>66</v>
      </c>
    </row>
    <row r="362" spans="1:10" x14ac:dyDescent="0.25">
      <c r="A362" s="7" t="s">
        <v>875</v>
      </c>
      <c r="B362" s="7" t="s">
        <v>132</v>
      </c>
      <c r="C362" s="7">
        <v>5</v>
      </c>
      <c r="D362" s="7" t="s">
        <v>686</v>
      </c>
      <c r="E362" s="7" t="s">
        <v>687</v>
      </c>
      <c r="F362" s="7" t="s">
        <v>687</v>
      </c>
      <c r="G362" s="7">
        <v>21.35</v>
      </c>
      <c r="H362" s="7">
        <v>21.35</v>
      </c>
      <c r="I362" s="26" t="s">
        <v>314</v>
      </c>
      <c r="J362" s="15" t="s">
        <v>66</v>
      </c>
    </row>
    <row r="363" spans="1:10" x14ac:dyDescent="0.25">
      <c r="A363" s="7" t="s">
        <v>875</v>
      </c>
      <c r="B363" s="7" t="s">
        <v>132</v>
      </c>
      <c r="C363" s="7">
        <v>6</v>
      </c>
      <c r="D363" s="7" t="s">
        <v>688</v>
      </c>
      <c r="E363" s="7" t="s">
        <v>689</v>
      </c>
      <c r="F363" s="7" t="s">
        <v>689</v>
      </c>
      <c r="G363" s="7">
        <v>7.1</v>
      </c>
      <c r="H363" s="7">
        <v>7.1</v>
      </c>
      <c r="I363" s="26" t="s">
        <v>314</v>
      </c>
      <c r="J363" s="15" t="s">
        <v>66</v>
      </c>
    </row>
    <row r="364" spans="1:10" x14ac:dyDescent="0.25">
      <c r="A364" s="7" t="s">
        <v>875</v>
      </c>
      <c r="B364" s="7" t="s">
        <v>132</v>
      </c>
      <c r="C364" s="7">
        <v>7</v>
      </c>
      <c r="D364" s="7" t="s">
        <v>879</v>
      </c>
      <c r="E364" s="7" t="s">
        <v>701</v>
      </c>
      <c r="F364" s="7" t="s">
        <v>701</v>
      </c>
      <c r="G364" s="7">
        <v>11.28</v>
      </c>
      <c r="H364" s="7">
        <v>11.28</v>
      </c>
      <c r="I364" s="26" t="s">
        <v>314</v>
      </c>
      <c r="J364" s="15" t="s">
        <v>66</v>
      </c>
    </row>
    <row r="365" spans="1:10" x14ac:dyDescent="0.25">
      <c r="A365" s="7" t="s">
        <v>875</v>
      </c>
      <c r="B365" s="7" t="s">
        <v>132</v>
      </c>
      <c r="C365" s="7">
        <v>8</v>
      </c>
      <c r="D365" s="7" t="s">
        <v>690</v>
      </c>
      <c r="E365" s="7" t="s">
        <v>152</v>
      </c>
      <c r="F365" s="7" t="s">
        <v>152</v>
      </c>
      <c r="G365" s="7">
        <v>695.04</v>
      </c>
      <c r="H365" s="7">
        <v>695.04</v>
      </c>
      <c r="I365" s="26" t="s">
        <v>314</v>
      </c>
      <c r="J365" s="15" t="s">
        <v>66</v>
      </c>
    </row>
    <row r="366" spans="1:10" x14ac:dyDescent="0.25">
      <c r="A366" s="7" t="s">
        <v>880</v>
      </c>
      <c r="B366" s="7" t="s">
        <v>132</v>
      </c>
      <c r="C366" s="7">
        <v>1</v>
      </c>
      <c r="D366" s="7" t="s">
        <v>881</v>
      </c>
      <c r="E366" s="7" t="s">
        <v>882</v>
      </c>
      <c r="F366" s="7" t="s">
        <v>882</v>
      </c>
      <c r="G366" s="7">
        <v>295</v>
      </c>
      <c r="H366" s="7">
        <v>295</v>
      </c>
      <c r="I366" s="26" t="s">
        <v>314</v>
      </c>
      <c r="J366" s="15" t="s">
        <v>66</v>
      </c>
    </row>
    <row r="367" spans="1:10" x14ac:dyDescent="0.25">
      <c r="A367" s="7" t="s">
        <v>880</v>
      </c>
      <c r="B367" s="7" t="s">
        <v>132</v>
      </c>
      <c r="C367" s="7">
        <v>2</v>
      </c>
      <c r="D367" s="7" t="s">
        <v>883</v>
      </c>
      <c r="E367" s="7" t="s">
        <v>884</v>
      </c>
      <c r="F367" s="7" t="s">
        <v>884</v>
      </c>
      <c r="G367" s="7">
        <v>280</v>
      </c>
      <c r="H367" s="7">
        <v>280</v>
      </c>
      <c r="I367" s="26" t="s">
        <v>314</v>
      </c>
      <c r="J367" s="15" t="s">
        <v>66</v>
      </c>
    </row>
    <row r="368" spans="1:10" x14ac:dyDescent="0.25">
      <c r="A368" s="7" t="s">
        <v>880</v>
      </c>
      <c r="B368" s="7" t="s">
        <v>132</v>
      </c>
      <c r="C368" s="7">
        <v>3</v>
      </c>
      <c r="D368" s="7" t="s">
        <v>885</v>
      </c>
      <c r="E368" s="7" t="s">
        <v>886</v>
      </c>
      <c r="F368" s="7" t="s">
        <v>886</v>
      </c>
      <c r="G368" s="7">
        <v>30</v>
      </c>
      <c r="H368" s="7">
        <v>30</v>
      </c>
      <c r="I368" s="26" t="s">
        <v>314</v>
      </c>
      <c r="J368" s="15" t="s">
        <v>66</v>
      </c>
    </row>
    <row r="369" spans="1:10" x14ac:dyDescent="0.25">
      <c r="A369" s="7" t="s">
        <v>880</v>
      </c>
      <c r="B369" s="7" t="s">
        <v>132</v>
      </c>
      <c r="C369" s="7">
        <v>4</v>
      </c>
      <c r="D369" s="7" t="s">
        <v>887</v>
      </c>
      <c r="E369" s="7" t="s">
        <v>888</v>
      </c>
      <c r="F369" s="7" t="s">
        <v>888</v>
      </c>
      <c r="G369" s="7">
        <v>120</v>
      </c>
      <c r="H369" s="7">
        <v>120</v>
      </c>
      <c r="I369" s="26" t="s">
        <v>314</v>
      </c>
      <c r="J369" s="15" t="s">
        <v>66</v>
      </c>
    </row>
    <row r="370" spans="1:10" x14ac:dyDescent="0.25">
      <c r="A370" s="7" t="s">
        <v>880</v>
      </c>
      <c r="B370" s="7" t="s">
        <v>132</v>
      </c>
      <c r="C370" s="7">
        <v>5</v>
      </c>
      <c r="D370" s="7" t="s">
        <v>889</v>
      </c>
      <c r="E370" s="7" t="s">
        <v>890</v>
      </c>
      <c r="F370" s="7" t="s">
        <v>890</v>
      </c>
      <c r="G370" s="7">
        <v>195</v>
      </c>
      <c r="H370" s="7">
        <v>195</v>
      </c>
      <c r="I370" s="26" t="s">
        <v>314</v>
      </c>
      <c r="J370" s="15" t="s">
        <v>66</v>
      </c>
    </row>
    <row r="371" spans="1:10" x14ac:dyDescent="0.25">
      <c r="A371" s="7" t="s">
        <v>880</v>
      </c>
      <c r="B371" s="7" t="s">
        <v>132</v>
      </c>
      <c r="C371" s="7">
        <v>6</v>
      </c>
      <c r="D371" s="7" t="s">
        <v>891</v>
      </c>
      <c r="E371" s="7" t="s">
        <v>892</v>
      </c>
      <c r="F371" s="7" t="s">
        <v>892</v>
      </c>
      <c r="G371" s="7">
        <v>40</v>
      </c>
      <c r="H371" s="7">
        <v>40</v>
      </c>
      <c r="I371" s="26" t="s">
        <v>314</v>
      </c>
      <c r="J371" s="15" t="s">
        <v>66</v>
      </c>
    </row>
    <row r="372" spans="1:10" x14ac:dyDescent="0.25">
      <c r="A372" s="7" t="s">
        <v>880</v>
      </c>
      <c r="B372" s="7" t="s">
        <v>132</v>
      </c>
      <c r="C372" s="7">
        <v>7</v>
      </c>
      <c r="D372" s="7" t="s">
        <v>893</v>
      </c>
      <c r="E372" s="7" t="s">
        <v>894</v>
      </c>
      <c r="F372" s="7" t="s">
        <v>894</v>
      </c>
      <c r="G372" s="7">
        <v>280</v>
      </c>
      <c r="H372" s="7">
        <v>280</v>
      </c>
      <c r="I372" s="26" t="s">
        <v>314</v>
      </c>
      <c r="J372" s="15" t="s">
        <v>66</v>
      </c>
    </row>
    <row r="373" spans="1:10" x14ac:dyDescent="0.25">
      <c r="A373" s="7" t="s">
        <v>880</v>
      </c>
      <c r="B373" s="7" t="s">
        <v>132</v>
      </c>
      <c r="C373" s="7">
        <v>8</v>
      </c>
      <c r="D373" s="7" t="s">
        <v>895</v>
      </c>
      <c r="E373" s="7" t="s">
        <v>896</v>
      </c>
      <c r="F373" s="7" t="s">
        <v>896</v>
      </c>
      <c r="G373" s="7">
        <v>280</v>
      </c>
      <c r="H373" s="7">
        <v>280</v>
      </c>
      <c r="I373" s="26" t="s">
        <v>314</v>
      </c>
      <c r="J373" s="15" t="s">
        <v>66</v>
      </c>
    </row>
    <row r="374" spans="1:10" x14ac:dyDescent="0.25">
      <c r="A374" s="7" t="s">
        <v>880</v>
      </c>
      <c r="B374" s="7" t="s">
        <v>132</v>
      </c>
      <c r="C374" s="7">
        <v>9</v>
      </c>
      <c r="D374" s="7" t="s">
        <v>897</v>
      </c>
      <c r="E374" s="7" t="s">
        <v>898</v>
      </c>
      <c r="F374" s="7" t="s">
        <v>898</v>
      </c>
      <c r="G374" s="7">
        <v>210</v>
      </c>
      <c r="H374" s="7">
        <v>210</v>
      </c>
      <c r="I374" s="26" t="s">
        <v>314</v>
      </c>
      <c r="J374" s="15" t="s">
        <v>66</v>
      </c>
    </row>
    <row r="375" spans="1:10" x14ac:dyDescent="0.25">
      <c r="A375" s="7" t="s">
        <v>880</v>
      </c>
      <c r="B375" s="7" t="s">
        <v>132</v>
      </c>
      <c r="C375" s="7">
        <v>10</v>
      </c>
      <c r="D375" s="7" t="s">
        <v>748</v>
      </c>
      <c r="E375" s="7" t="s">
        <v>899</v>
      </c>
      <c r="F375" s="7" t="s">
        <v>899</v>
      </c>
      <c r="G375" s="7">
        <v>65</v>
      </c>
      <c r="H375" s="7">
        <v>65</v>
      </c>
      <c r="I375" s="26" t="s">
        <v>314</v>
      </c>
      <c r="J375" s="15" t="s">
        <v>66</v>
      </c>
    </row>
    <row r="376" spans="1:10" x14ac:dyDescent="0.25">
      <c r="A376" s="7" t="s">
        <v>880</v>
      </c>
      <c r="B376" s="7" t="s">
        <v>132</v>
      </c>
      <c r="C376" s="7">
        <v>11</v>
      </c>
      <c r="D376" s="7" t="s">
        <v>900</v>
      </c>
      <c r="E376" s="7" t="s">
        <v>901</v>
      </c>
      <c r="F376" s="7" t="s">
        <v>901</v>
      </c>
      <c r="G376" s="7">
        <v>110</v>
      </c>
      <c r="H376" s="7">
        <v>110</v>
      </c>
      <c r="I376" s="26" t="s">
        <v>314</v>
      </c>
      <c r="J376" s="15" t="s">
        <v>66</v>
      </c>
    </row>
    <row r="377" spans="1:10" x14ac:dyDescent="0.25">
      <c r="A377" s="7" t="s">
        <v>880</v>
      </c>
      <c r="B377" s="7" t="s">
        <v>132</v>
      </c>
      <c r="C377" s="7">
        <v>12</v>
      </c>
      <c r="D377" s="7" t="s">
        <v>902</v>
      </c>
      <c r="E377" s="7" t="s">
        <v>903</v>
      </c>
      <c r="F377" s="7" t="s">
        <v>903</v>
      </c>
      <c r="G377" s="7">
        <v>185</v>
      </c>
      <c r="H377" s="7">
        <v>185</v>
      </c>
      <c r="I377" s="26" t="s">
        <v>314</v>
      </c>
      <c r="J377" s="15" t="s">
        <v>66</v>
      </c>
    </row>
    <row r="378" spans="1:10" x14ac:dyDescent="0.25">
      <c r="A378" s="7" t="s">
        <v>880</v>
      </c>
      <c r="B378" s="7" t="s">
        <v>132</v>
      </c>
      <c r="C378" s="7">
        <v>13</v>
      </c>
      <c r="D378" s="7" t="s">
        <v>904</v>
      </c>
      <c r="E378" s="7" t="s">
        <v>905</v>
      </c>
      <c r="F378" s="7" t="s">
        <v>905</v>
      </c>
      <c r="G378" s="7">
        <v>320</v>
      </c>
      <c r="H378" s="7">
        <v>320</v>
      </c>
      <c r="I378" s="26" t="s">
        <v>314</v>
      </c>
      <c r="J378" s="15" t="s">
        <v>66</v>
      </c>
    </row>
    <row r="379" spans="1:10" x14ac:dyDescent="0.25">
      <c r="A379" s="7" t="s">
        <v>880</v>
      </c>
      <c r="B379" s="7" t="s">
        <v>132</v>
      </c>
      <c r="C379" s="7">
        <v>14</v>
      </c>
      <c r="D379" s="7" t="s">
        <v>845</v>
      </c>
      <c r="E379" s="7" t="s">
        <v>906</v>
      </c>
      <c r="F379" s="7" t="s">
        <v>906</v>
      </c>
      <c r="G379" s="7">
        <v>600</v>
      </c>
      <c r="H379" s="7">
        <v>600</v>
      </c>
      <c r="I379" s="26" t="s">
        <v>314</v>
      </c>
      <c r="J379" s="15" t="s">
        <v>66</v>
      </c>
    </row>
    <row r="380" spans="1:10" x14ac:dyDescent="0.25">
      <c r="A380" s="7" t="s">
        <v>880</v>
      </c>
      <c r="B380" s="7" t="s">
        <v>132</v>
      </c>
      <c r="C380" s="7">
        <v>15</v>
      </c>
      <c r="D380" s="7" t="s">
        <v>214</v>
      </c>
      <c r="E380" s="7" t="s">
        <v>907</v>
      </c>
      <c r="F380" s="7" t="s">
        <v>907</v>
      </c>
      <c r="G380" s="7">
        <v>680</v>
      </c>
      <c r="H380" s="7">
        <v>680</v>
      </c>
      <c r="I380" s="26" t="s">
        <v>314</v>
      </c>
      <c r="J380" s="15" t="s">
        <v>66</v>
      </c>
    </row>
    <row r="381" spans="1:10" x14ac:dyDescent="0.25">
      <c r="A381" s="7" t="s">
        <v>880</v>
      </c>
      <c r="B381" s="7" t="s">
        <v>132</v>
      </c>
      <c r="C381" s="7">
        <v>16</v>
      </c>
      <c r="D381" s="7" t="s">
        <v>908</v>
      </c>
      <c r="E381" s="7" t="s">
        <v>760</v>
      </c>
      <c r="F381" s="7" t="s">
        <v>760</v>
      </c>
      <c r="G381" s="7">
        <v>210</v>
      </c>
      <c r="H381" s="7">
        <v>210</v>
      </c>
      <c r="I381" s="26" t="s">
        <v>314</v>
      </c>
      <c r="J381" s="15" t="s">
        <v>66</v>
      </c>
    </row>
    <row r="382" spans="1:10" x14ac:dyDescent="0.25">
      <c r="A382" s="7" t="s">
        <v>880</v>
      </c>
      <c r="B382" s="7" t="s">
        <v>132</v>
      </c>
      <c r="C382" s="7">
        <v>17</v>
      </c>
      <c r="D382" s="7" t="s">
        <v>909</v>
      </c>
      <c r="E382" s="7" t="s">
        <v>910</v>
      </c>
      <c r="F382" s="7" t="s">
        <v>910</v>
      </c>
      <c r="G382" s="7">
        <v>2</v>
      </c>
      <c r="H382" s="7">
        <v>2</v>
      </c>
      <c r="I382" s="26" t="s">
        <v>314</v>
      </c>
      <c r="J382" s="15" t="s">
        <v>66</v>
      </c>
    </row>
    <row r="383" spans="1:10" x14ac:dyDescent="0.25">
      <c r="A383" s="7" t="s">
        <v>880</v>
      </c>
      <c r="B383" s="7" t="s">
        <v>132</v>
      </c>
      <c r="C383" s="7">
        <v>18</v>
      </c>
      <c r="D383" s="7" t="s">
        <v>911</v>
      </c>
      <c r="E383" s="7" t="s">
        <v>912</v>
      </c>
      <c r="F383" s="7" t="s">
        <v>912</v>
      </c>
      <c r="G383" s="7">
        <v>280</v>
      </c>
      <c r="H383" s="7">
        <v>280</v>
      </c>
      <c r="I383" s="26" t="s">
        <v>314</v>
      </c>
      <c r="J383" s="15" t="s">
        <v>66</v>
      </c>
    </row>
    <row r="384" spans="1:10" x14ac:dyDescent="0.25">
      <c r="A384" s="7" t="s">
        <v>880</v>
      </c>
      <c r="B384" s="7" t="s">
        <v>132</v>
      </c>
      <c r="C384" s="7">
        <v>19</v>
      </c>
      <c r="D384" s="7" t="s">
        <v>913</v>
      </c>
      <c r="E384" s="7" t="s">
        <v>910</v>
      </c>
      <c r="F384" s="7" t="s">
        <v>910</v>
      </c>
      <c r="G384" s="7">
        <v>2</v>
      </c>
      <c r="H384" s="7">
        <v>2</v>
      </c>
      <c r="I384" s="26" t="s">
        <v>314</v>
      </c>
      <c r="J384" s="15" t="s">
        <v>66</v>
      </c>
    </row>
    <row r="385" spans="1:10" x14ac:dyDescent="0.25">
      <c r="A385" s="7" t="s">
        <v>188</v>
      </c>
      <c r="B385" s="7" t="s">
        <v>132</v>
      </c>
      <c r="C385" s="7">
        <v>1</v>
      </c>
      <c r="D385" s="7" t="s">
        <v>418</v>
      </c>
      <c r="E385" s="7" t="s">
        <v>914</v>
      </c>
      <c r="F385" s="7" t="s">
        <v>914</v>
      </c>
      <c r="G385" s="7">
        <v>1480</v>
      </c>
      <c r="H385" s="7">
        <v>1480</v>
      </c>
      <c r="I385" s="26" t="s">
        <v>314</v>
      </c>
      <c r="J385" s="15" t="s">
        <v>66</v>
      </c>
    </row>
    <row r="386" spans="1:10" x14ac:dyDescent="0.25">
      <c r="A386" s="7" t="s">
        <v>188</v>
      </c>
      <c r="B386" s="7" t="s">
        <v>132</v>
      </c>
      <c r="C386" s="7">
        <v>2</v>
      </c>
      <c r="D386" s="7" t="s">
        <v>915</v>
      </c>
      <c r="E386" s="7" t="s">
        <v>190</v>
      </c>
      <c r="F386" s="7" t="s">
        <v>191</v>
      </c>
      <c r="G386" s="7">
        <v>210</v>
      </c>
      <c r="H386" s="7">
        <v>210</v>
      </c>
      <c r="I386" s="20" t="s">
        <v>320</v>
      </c>
      <c r="J386" s="15" t="s">
        <v>66</v>
      </c>
    </row>
    <row r="387" spans="1:10" x14ac:dyDescent="0.25">
      <c r="A387" s="7" t="s">
        <v>188</v>
      </c>
      <c r="B387" s="7" t="s">
        <v>132</v>
      </c>
      <c r="C387" s="7">
        <v>3</v>
      </c>
      <c r="D387" s="7" t="s">
        <v>916</v>
      </c>
      <c r="E387" s="7" t="s">
        <v>190</v>
      </c>
      <c r="F387" s="7" t="s">
        <v>190</v>
      </c>
      <c r="G387" s="7">
        <v>210</v>
      </c>
      <c r="H387" s="7">
        <v>210</v>
      </c>
      <c r="I387" s="26" t="s">
        <v>314</v>
      </c>
      <c r="J387" s="15" t="s">
        <v>66</v>
      </c>
    </row>
    <row r="388" spans="1:10" x14ac:dyDescent="0.25">
      <c r="A388" s="7" t="s">
        <v>188</v>
      </c>
      <c r="B388" s="7" t="s">
        <v>132</v>
      </c>
      <c r="C388" s="7">
        <v>4</v>
      </c>
      <c r="D388" s="7" t="s">
        <v>917</v>
      </c>
      <c r="E388" s="7" t="s">
        <v>918</v>
      </c>
      <c r="F388" s="7" t="s">
        <v>918</v>
      </c>
      <c r="G388" s="7">
        <v>780</v>
      </c>
      <c r="H388" s="7">
        <v>780</v>
      </c>
      <c r="I388" s="26" t="s">
        <v>314</v>
      </c>
      <c r="J388" s="15" t="s">
        <v>66</v>
      </c>
    </row>
    <row r="389" spans="1:10" x14ac:dyDescent="0.25">
      <c r="A389" s="7" t="s">
        <v>188</v>
      </c>
      <c r="B389" s="7" t="s">
        <v>132</v>
      </c>
      <c r="C389" s="7">
        <v>5</v>
      </c>
      <c r="D389" s="7" t="s">
        <v>919</v>
      </c>
      <c r="E389" s="7" t="s">
        <v>920</v>
      </c>
      <c r="F389" s="7" t="s">
        <v>920</v>
      </c>
      <c r="G389" s="7">
        <v>270</v>
      </c>
      <c r="H389" s="7">
        <v>270</v>
      </c>
      <c r="I389" s="26" t="s">
        <v>314</v>
      </c>
      <c r="J389" s="15" t="s">
        <v>66</v>
      </c>
    </row>
    <row r="390" spans="1:10" x14ac:dyDescent="0.25">
      <c r="A390" s="7" t="s">
        <v>188</v>
      </c>
      <c r="B390" s="7" t="s">
        <v>132</v>
      </c>
      <c r="C390" s="7">
        <v>6</v>
      </c>
      <c r="D390" s="7" t="s">
        <v>921</v>
      </c>
      <c r="E390" s="7" t="s">
        <v>922</v>
      </c>
      <c r="F390" s="7" t="s">
        <v>922</v>
      </c>
      <c r="G390" s="7">
        <v>210</v>
      </c>
      <c r="H390" s="7">
        <v>210</v>
      </c>
      <c r="I390" s="26" t="s">
        <v>314</v>
      </c>
      <c r="J390" s="15" t="s">
        <v>66</v>
      </c>
    </row>
    <row r="391" spans="1:10" x14ac:dyDescent="0.25">
      <c r="A391" s="7" t="s">
        <v>188</v>
      </c>
      <c r="B391" s="7" t="s">
        <v>132</v>
      </c>
      <c r="C391" s="7">
        <v>7</v>
      </c>
      <c r="D391" s="7" t="s">
        <v>923</v>
      </c>
      <c r="E391" s="7" t="s">
        <v>924</v>
      </c>
      <c r="F391" s="7" t="s">
        <v>924</v>
      </c>
      <c r="G391" s="7">
        <v>8</v>
      </c>
      <c r="H391" s="7">
        <v>8</v>
      </c>
      <c r="I391" s="26" t="s">
        <v>314</v>
      </c>
      <c r="J391" s="15" t="s">
        <v>66</v>
      </c>
    </row>
    <row r="392" spans="1:10" x14ac:dyDescent="0.25">
      <c r="A392" s="7" t="s">
        <v>188</v>
      </c>
      <c r="B392" s="7" t="s">
        <v>132</v>
      </c>
      <c r="C392" s="7">
        <v>8</v>
      </c>
      <c r="D392" s="7" t="s">
        <v>925</v>
      </c>
      <c r="E392" s="7" t="s">
        <v>926</v>
      </c>
      <c r="F392" s="7" t="s">
        <v>926</v>
      </c>
      <c r="G392" s="7">
        <v>8</v>
      </c>
      <c r="H392" s="7">
        <v>8</v>
      </c>
      <c r="I392" s="26" t="s">
        <v>314</v>
      </c>
      <c r="J392" s="15" t="s">
        <v>66</v>
      </c>
    </row>
    <row r="393" spans="1:10" x14ac:dyDescent="0.25">
      <c r="A393" s="7" t="s">
        <v>188</v>
      </c>
      <c r="B393" s="7" t="s">
        <v>132</v>
      </c>
      <c r="C393" s="7">
        <v>9</v>
      </c>
      <c r="D393" s="7" t="s">
        <v>927</v>
      </c>
      <c r="E393" s="7" t="s">
        <v>928</v>
      </c>
      <c r="F393" s="7" t="s">
        <v>928</v>
      </c>
      <c r="G393" s="7">
        <v>1180</v>
      </c>
      <c r="H393" s="7">
        <v>1180</v>
      </c>
      <c r="I393" s="26" t="s">
        <v>314</v>
      </c>
      <c r="J393" s="15" t="s">
        <v>66</v>
      </c>
    </row>
    <row r="394" spans="1:10" x14ac:dyDescent="0.25">
      <c r="A394" s="7" t="s">
        <v>188</v>
      </c>
      <c r="B394" s="7" t="s">
        <v>132</v>
      </c>
      <c r="C394" s="7">
        <v>10</v>
      </c>
      <c r="D394" s="7" t="s">
        <v>929</v>
      </c>
      <c r="E394" s="7" t="s">
        <v>930</v>
      </c>
      <c r="F394" s="7" t="s">
        <v>930</v>
      </c>
      <c r="G394" s="7">
        <v>20</v>
      </c>
      <c r="H394" s="7">
        <v>20</v>
      </c>
      <c r="I394" s="26" t="s">
        <v>314</v>
      </c>
      <c r="J394" s="15" t="s">
        <v>66</v>
      </c>
    </row>
    <row r="395" spans="1:10" x14ac:dyDescent="0.25">
      <c r="A395" s="7" t="s">
        <v>188</v>
      </c>
      <c r="B395" s="7" t="s">
        <v>132</v>
      </c>
      <c r="C395" s="7">
        <v>11</v>
      </c>
      <c r="D395" s="7" t="s">
        <v>931</v>
      </c>
      <c r="E395" s="7" t="s">
        <v>932</v>
      </c>
      <c r="F395" s="7" t="s">
        <v>932</v>
      </c>
      <c r="G395" s="7">
        <v>8</v>
      </c>
      <c r="H395" s="7">
        <v>8</v>
      </c>
      <c r="I395" s="26" t="s">
        <v>314</v>
      </c>
      <c r="J395" s="15" t="s">
        <v>66</v>
      </c>
    </row>
    <row r="396" spans="1:10" x14ac:dyDescent="0.25">
      <c r="A396" s="7" t="s">
        <v>933</v>
      </c>
      <c r="B396" s="7" t="s">
        <v>132</v>
      </c>
      <c r="C396" s="7">
        <v>1</v>
      </c>
      <c r="D396" s="7" t="s">
        <v>241</v>
      </c>
      <c r="E396" s="7" t="s">
        <v>934</v>
      </c>
      <c r="F396" s="7" t="s">
        <v>934</v>
      </c>
      <c r="G396" s="7">
        <v>350</v>
      </c>
      <c r="H396" s="7">
        <v>350</v>
      </c>
      <c r="I396" s="26" t="s">
        <v>314</v>
      </c>
      <c r="J396" s="15" t="s">
        <v>66</v>
      </c>
    </row>
    <row r="397" spans="1:10" x14ac:dyDescent="0.25">
      <c r="A397" s="7" t="s">
        <v>933</v>
      </c>
      <c r="B397" s="7" t="s">
        <v>132</v>
      </c>
      <c r="C397" s="7">
        <v>2</v>
      </c>
      <c r="D397" s="7" t="s">
        <v>731</v>
      </c>
      <c r="E397" s="7" t="s">
        <v>935</v>
      </c>
      <c r="F397" s="7" t="s">
        <v>935</v>
      </c>
      <c r="G397" s="7">
        <v>200</v>
      </c>
      <c r="H397" s="7">
        <v>200</v>
      </c>
      <c r="I397" s="26" t="s">
        <v>314</v>
      </c>
      <c r="J397" s="15" t="s">
        <v>66</v>
      </c>
    </row>
    <row r="398" spans="1:10" x14ac:dyDescent="0.25">
      <c r="A398" s="7" t="s">
        <v>933</v>
      </c>
      <c r="B398" s="7" t="s">
        <v>132</v>
      </c>
      <c r="C398" s="7">
        <v>3</v>
      </c>
      <c r="D398" s="7" t="s">
        <v>936</v>
      </c>
      <c r="E398" s="7" t="s">
        <v>937</v>
      </c>
      <c r="F398" s="7" t="s">
        <v>937</v>
      </c>
      <c r="G398" s="7">
        <v>45</v>
      </c>
      <c r="H398" s="7">
        <v>45</v>
      </c>
      <c r="I398" s="26" t="s">
        <v>314</v>
      </c>
      <c r="J398" s="15" t="s">
        <v>66</v>
      </c>
    </row>
    <row r="399" spans="1:10" x14ac:dyDescent="0.25">
      <c r="A399" s="7" t="s">
        <v>933</v>
      </c>
      <c r="B399" s="7" t="s">
        <v>132</v>
      </c>
      <c r="C399" s="7">
        <v>4</v>
      </c>
      <c r="D399" s="7" t="s">
        <v>864</v>
      </c>
      <c r="E399" s="7" t="s">
        <v>938</v>
      </c>
      <c r="F399" s="7" t="s">
        <v>938</v>
      </c>
      <c r="G399" s="7">
        <v>80</v>
      </c>
      <c r="H399" s="7">
        <v>80</v>
      </c>
      <c r="I399" s="26" t="s">
        <v>314</v>
      </c>
      <c r="J399" s="15" t="s">
        <v>66</v>
      </c>
    </row>
    <row r="400" spans="1:10" x14ac:dyDescent="0.25">
      <c r="A400" s="7" t="s">
        <v>933</v>
      </c>
      <c r="B400" s="7" t="s">
        <v>132</v>
      </c>
      <c r="C400" s="7">
        <v>5</v>
      </c>
      <c r="D400" s="7" t="s">
        <v>798</v>
      </c>
      <c r="E400" s="7" t="s">
        <v>939</v>
      </c>
      <c r="F400" s="7" t="s">
        <v>939</v>
      </c>
      <c r="G400" s="7">
        <v>350</v>
      </c>
      <c r="H400" s="7">
        <v>350</v>
      </c>
      <c r="I400" s="26" t="s">
        <v>314</v>
      </c>
      <c r="J400" s="15" t="s">
        <v>66</v>
      </c>
    </row>
    <row r="401" spans="1:10" x14ac:dyDescent="0.25">
      <c r="A401" s="7" t="s">
        <v>933</v>
      </c>
      <c r="B401" s="7" t="s">
        <v>132</v>
      </c>
      <c r="C401" s="7">
        <v>6</v>
      </c>
      <c r="D401" s="7" t="s">
        <v>796</v>
      </c>
      <c r="E401" s="7" t="s">
        <v>940</v>
      </c>
      <c r="F401" s="7" t="s">
        <v>940</v>
      </c>
      <c r="G401" s="7">
        <v>350</v>
      </c>
      <c r="H401" s="7">
        <v>350</v>
      </c>
      <c r="I401" s="26" t="s">
        <v>314</v>
      </c>
      <c r="J401" s="15" t="s">
        <v>66</v>
      </c>
    </row>
    <row r="402" spans="1:10" x14ac:dyDescent="0.25">
      <c r="A402" s="7" t="s">
        <v>933</v>
      </c>
      <c r="B402" s="7" t="s">
        <v>132</v>
      </c>
      <c r="C402" s="7">
        <v>7</v>
      </c>
      <c r="D402" s="7" t="s">
        <v>941</v>
      </c>
      <c r="E402" s="7" t="s">
        <v>942</v>
      </c>
      <c r="F402" s="7" t="s">
        <v>942</v>
      </c>
      <c r="G402" s="7">
        <v>65</v>
      </c>
      <c r="H402" s="7">
        <v>65</v>
      </c>
      <c r="I402" s="26" t="s">
        <v>314</v>
      </c>
      <c r="J402" s="15" t="s">
        <v>66</v>
      </c>
    </row>
    <row r="403" spans="1:10" x14ac:dyDescent="0.25">
      <c r="A403" s="7" t="s">
        <v>933</v>
      </c>
      <c r="B403" s="7" t="s">
        <v>132</v>
      </c>
      <c r="C403" s="7">
        <v>8</v>
      </c>
      <c r="D403" s="7" t="s">
        <v>943</v>
      </c>
      <c r="E403" s="7" t="s">
        <v>944</v>
      </c>
      <c r="F403" s="7" t="s">
        <v>944</v>
      </c>
      <c r="G403" s="7">
        <v>65</v>
      </c>
      <c r="H403" s="7">
        <v>65</v>
      </c>
      <c r="I403" s="26" t="s">
        <v>314</v>
      </c>
      <c r="J403" s="15" t="s">
        <v>66</v>
      </c>
    </row>
    <row r="404" spans="1:10" x14ac:dyDescent="0.25">
      <c r="A404" s="7" t="s">
        <v>933</v>
      </c>
      <c r="B404" s="7" t="s">
        <v>132</v>
      </c>
      <c r="C404" s="7">
        <v>9</v>
      </c>
      <c r="D404" s="7" t="s">
        <v>945</v>
      </c>
      <c r="E404" s="7" t="s">
        <v>946</v>
      </c>
      <c r="F404" s="7" t="s">
        <v>946</v>
      </c>
      <c r="G404" s="7">
        <v>55</v>
      </c>
      <c r="H404" s="7">
        <v>55</v>
      </c>
      <c r="I404" s="26" t="s">
        <v>314</v>
      </c>
      <c r="J404" s="15" t="s">
        <v>66</v>
      </c>
    </row>
    <row r="405" spans="1:10" x14ac:dyDescent="0.25">
      <c r="A405" s="7" t="s">
        <v>193</v>
      </c>
      <c r="B405" s="7" t="s">
        <v>132</v>
      </c>
      <c r="C405" s="7">
        <v>1</v>
      </c>
      <c r="D405" s="7" t="s">
        <v>541</v>
      </c>
      <c r="E405" s="7" t="s">
        <v>947</v>
      </c>
      <c r="F405" s="7" t="s">
        <v>947</v>
      </c>
      <c r="G405" s="7">
        <v>50</v>
      </c>
      <c r="H405" s="7">
        <v>50</v>
      </c>
      <c r="I405" s="26" t="s">
        <v>314</v>
      </c>
      <c r="J405" s="15" t="s">
        <v>66</v>
      </c>
    </row>
    <row r="406" spans="1:10" x14ac:dyDescent="0.25">
      <c r="A406" s="7" t="s">
        <v>193</v>
      </c>
      <c r="B406" s="7" t="s">
        <v>132</v>
      </c>
      <c r="C406" s="7">
        <v>2</v>
      </c>
      <c r="D406" s="7" t="s">
        <v>543</v>
      </c>
      <c r="E406" s="7" t="s">
        <v>948</v>
      </c>
      <c r="F406" s="7" t="s">
        <v>948</v>
      </c>
      <c r="G406" s="7">
        <v>50</v>
      </c>
      <c r="H406" s="7">
        <v>50</v>
      </c>
      <c r="I406" s="26" t="s">
        <v>314</v>
      </c>
      <c r="J406" s="15" t="s">
        <v>66</v>
      </c>
    </row>
    <row r="407" spans="1:10" x14ac:dyDescent="0.25">
      <c r="A407" s="7" t="s">
        <v>193</v>
      </c>
      <c r="B407" s="7" t="s">
        <v>132</v>
      </c>
      <c r="C407" s="7">
        <v>3</v>
      </c>
      <c r="D407" s="7" t="s">
        <v>949</v>
      </c>
      <c r="E407" s="7" t="s">
        <v>950</v>
      </c>
      <c r="F407" s="7" t="s">
        <v>950</v>
      </c>
      <c r="G407" s="7">
        <v>85</v>
      </c>
      <c r="H407" s="7">
        <v>85</v>
      </c>
      <c r="I407" s="26" t="s">
        <v>314</v>
      </c>
      <c r="J407" s="15" t="s">
        <v>66</v>
      </c>
    </row>
    <row r="408" spans="1:10" x14ac:dyDescent="0.25">
      <c r="A408" s="7" t="s">
        <v>193</v>
      </c>
      <c r="B408" s="7" t="s">
        <v>132</v>
      </c>
      <c r="C408" s="7">
        <v>4</v>
      </c>
      <c r="D408" s="7" t="s">
        <v>951</v>
      </c>
      <c r="E408" s="7" t="s">
        <v>952</v>
      </c>
      <c r="F408" s="7" t="s">
        <v>952</v>
      </c>
      <c r="G408" s="7">
        <v>125</v>
      </c>
      <c r="H408" s="7">
        <v>125</v>
      </c>
      <c r="I408" s="26" t="s">
        <v>314</v>
      </c>
      <c r="J408" s="15" t="s">
        <v>66</v>
      </c>
    </row>
    <row r="409" spans="1:10" x14ac:dyDescent="0.25">
      <c r="A409" s="7" t="s">
        <v>193</v>
      </c>
      <c r="B409" s="7" t="s">
        <v>132</v>
      </c>
      <c r="C409" s="7">
        <v>5</v>
      </c>
      <c r="D409" s="7" t="s">
        <v>953</v>
      </c>
      <c r="E409" s="7" t="s">
        <v>954</v>
      </c>
      <c r="F409" s="7" t="s">
        <v>954</v>
      </c>
      <c r="G409" s="7">
        <v>30</v>
      </c>
      <c r="H409" s="7">
        <v>30</v>
      </c>
      <c r="I409" s="26" t="s">
        <v>314</v>
      </c>
      <c r="J409" s="15" t="s">
        <v>66</v>
      </c>
    </row>
    <row r="410" spans="1:10" x14ac:dyDescent="0.25">
      <c r="A410" s="7" t="s">
        <v>193</v>
      </c>
      <c r="B410" s="7" t="s">
        <v>132</v>
      </c>
      <c r="C410" s="7">
        <v>6</v>
      </c>
      <c r="D410" s="7" t="s">
        <v>955</v>
      </c>
      <c r="E410" s="7" t="s">
        <v>956</v>
      </c>
      <c r="F410" s="7" t="s">
        <v>956</v>
      </c>
      <c r="G410" s="7">
        <v>255</v>
      </c>
      <c r="H410" s="7">
        <v>255</v>
      </c>
      <c r="I410" s="26" t="s">
        <v>314</v>
      </c>
      <c r="J410" s="15" t="s">
        <v>66</v>
      </c>
    </row>
    <row r="411" spans="1:10" x14ac:dyDescent="0.25">
      <c r="A411" s="7" t="s">
        <v>193</v>
      </c>
      <c r="B411" s="7" t="s">
        <v>132</v>
      </c>
      <c r="C411" s="7">
        <v>7</v>
      </c>
      <c r="D411" s="7" t="s">
        <v>957</v>
      </c>
      <c r="E411" s="7" t="s">
        <v>958</v>
      </c>
      <c r="F411" s="7" t="s">
        <v>958</v>
      </c>
      <c r="G411" s="7">
        <v>320</v>
      </c>
      <c r="H411" s="7">
        <v>320</v>
      </c>
      <c r="I411" s="26" t="s">
        <v>314</v>
      </c>
      <c r="J411" s="15" t="s">
        <v>66</v>
      </c>
    </row>
    <row r="412" spans="1:10" x14ac:dyDescent="0.25">
      <c r="A412" s="7" t="s">
        <v>193</v>
      </c>
      <c r="B412" s="7" t="s">
        <v>132</v>
      </c>
      <c r="C412" s="7">
        <v>8</v>
      </c>
      <c r="D412" s="7" t="s">
        <v>959</v>
      </c>
      <c r="E412" s="7" t="s">
        <v>960</v>
      </c>
      <c r="F412" s="7" t="s">
        <v>960</v>
      </c>
      <c r="G412" s="7">
        <v>30</v>
      </c>
      <c r="H412" s="7">
        <v>30</v>
      </c>
      <c r="I412" s="26" t="s">
        <v>314</v>
      </c>
      <c r="J412" s="15" t="s">
        <v>66</v>
      </c>
    </row>
    <row r="413" spans="1:10" x14ac:dyDescent="0.25">
      <c r="A413" s="7" t="s">
        <v>193</v>
      </c>
      <c r="B413" s="7" t="s">
        <v>132</v>
      </c>
      <c r="C413" s="7">
        <v>9</v>
      </c>
      <c r="D413" s="7" t="s">
        <v>961</v>
      </c>
      <c r="E413" s="7" t="s">
        <v>962</v>
      </c>
      <c r="F413" s="7" t="s">
        <v>962</v>
      </c>
      <c r="G413" s="7">
        <v>350</v>
      </c>
      <c r="H413" s="7">
        <v>350</v>
      </c>
      <c r="I413" s="26" t="s">
        <v>314</v>
      </c>
      <c r="J413" s="15" t="s">
        <v>66</v>
      </c>
    </row>
    <row r="414" spans="1:10" x14ac:dyDescent="0.25">
      <c r="A414" s="7" t="s">
        <v>193</v>
      </c>
      <c r="B414" s="7" t="s">
        <v>132</v>
      </c>
      <c r="C414" s="7">
        <v>10</v>
      </c>
      <c r="D414" s="7" t="s">
        <v>963</v>
      </c>
      <c r="E414" s="7" t="s">
        <v>964</v>
      </c>
      <c r="F414" s="7" t="s">
        <v>964</v>
      </c>
      <c r="G414" s="7">
        <v>295</v>
      </c>
      <c r="H414" s="7">
        <v>295</v>
      </c>
      <c r="I414" s="26" t="s">
        <v>314</v>
      </c>
      <c r="J414" s="15" t="s">
        <v>66</v>
      </c>
    </row>
    <row r="415" spans="1:10" x14ac:dyDescent="0.25">
      <c r="A415" s="7" t="s">
        <v>193</v>
      </c>
      <c r="B415" s="7" t="s">
        <v>132</v>
      </c>
      <c r="C415" s="7">
        <v>11</v>
      </c>
      <c r="D415" s="7" t="s">
        <v>965</v>
      </c>
      <c r="E415" s="7" t="s">
        <v>966</v>
      </c>
      <c r="F415" s="7" t="s">
        <v>966</v>
      </c>
      <c r="G415" s="7">
        <v>255</v>
      </c>
      <c r="H415" s="7">
        <v>255</v>
      </c>
      <c r="I415" s="26" t="s">
        <v>314</v>
      </c>
      <c r="J415" s="15" t="s">
        <v>66</v>
      </c>
    </row>
    <row r="416" spans="1:10" x14ac:dyDescent="0.25">
      <c r="A416" s="7" t="s">
        <v>193</v>
      </c>
      <c r="B416" s="7" t="s">
        <v>132</v>
      </c>
      <c r="C416" s="7">
        <v>12</v>
      </c>
      <c r="D416" s="7" t="s">
        <v>967</v>
      </c>
      <c r="E416" s="7" t="s">
        <v>968</v>
      </c>
      <c r="F416" s="7" t="s">
        <v>968</v>
      </c>
      <c r="G416" s="7">
        <v>25</v>
      </c>
      <c r="H416" s="7">
        <v>25</v>
      </c>
      <c r="I416" s="26" t="s">
        <v>314</v>
      </c>
      <c r="J416" s="15" t="s">
        <v>66</v>
      </c>
    </row>
    <row r="417" spans="1:10" x14ac:dyDescent="0.25">
      <c r="A417" s="7" t="s">
        <v>193</v>
      </c>
      <c r="B417" s="7" t="s">
        <v>132</v>
      </c>
      <c r="C417" s="7">
        <v>13</v>
      </c>
      <c r="D417" s="7" t="s">
        <v>969</v>
      </c>
      <c r="E417" s="7" t="s">
        <v>970</v>
      </c>
      <c r="F417" s="7" t="s">
        <v>970</v>
      </c>
      <c r="G417" s="7">
        <v>38</v>
      </c>
      <c r="H417" s="7">
        <v>38</v>
      </c>
      <c r="I417" s="26" t="s">
        <v>314</v>
      </c>
      <c r="J417" s="15" t="s">
        <v>66</v>
      </c>
    </row>
    <row r="418" spans="1:10" x14ac:dyDescent="0.25">
      <c r="A418" s="7" t="s">
        <v>193</v>
      </c>
      <c r="B418" s="7" t="s">
        <v>132</v>
      </c>
      <c r="C418" s="7">
        <v>14</v>
      </c>
      <c r="D418" s="7" t="s">
        <v>971</v>
      </c>
      <c r="E418" s="7" t="s">
        <v>972</v>
      </c>
      <c r="F418" s="7" t="s">
        <v>972</v>
      </c>
      <c r="G418" s="7">
        <v>1150</v>
      </c>
      <c r="H418" s="7">
        <v>1150</v>
      </c>
      <c r="I418" s="26" t="s">
        <v>314</v>
      </c>
      <c r="J418" s="15" t="s">
        <v>66</v>
      </c>
    </row>
    <row r="419" spans="1:10" x14ac:dyDescent="0.25">
      <c r="A419" s="7" t="s">
        <v>193</v>
      </c>
      <c r="B419" s="7" t="s">
        <v>132</v>
      </c>
      <c r="C419" s="7">
        <v>15</v>
      </c>
      <c r="D419" s="7" t="s">
        <v>973</v>
      </c>
      <c r="E419" s="7" t="s">
        <v>974</v>
      </c>
      <c r="F419" s="7" t="s">
        <v>974</v>
      </c>
      <c r="G419" s="7">
        <v>1150</v>
      </c>
      <c r="H419" s="7">
        <v>1150</v>
      </c>
      <c r="I419" s="26" t="s">
        <v>314</v>
      </c>
      <c r="J419" s="15" t="s">
        <v>66</v>
      </c>
    </row>
    <row r="420" spans="1:10" x14ac:dyDescent="0.25">
      <c r="A420" s="7" t="s">
        <v>193</v>
      </c>
      <c r="B420" s="7" t="s">
        <v>132</v>
      </c>
      <c r="C420" s="7">
        <v>16</v>
      </c>
      <c r="D420" s="7" t="s">
        <v>975</v>
      </c>
      <c r="E420" s="7" t="s">
        <v>976</v>
      </c>
      <c r="F420" s="7" t="s">
        <v>976</v>
      </c>
      <c r="G420" s="7">
        <v>450</v>
      </c>
      <c r="H420" s="7">
        <v>450</v>
      </c>
      <c r="I420" s="26" t="s">
        <v>314</v>
      </c>
      <c r="J420" s="15" t="s">
        <v>66</v>
      </c>
    </row>
    <row r="421" spans="1:10" x14ac:dyDescent="0.25">
      <c r="A421" s="7" t="s">
        <v>193</v>
      </c>
      <c r="B421" s="7" t="s">
        <v>132</v>
      </c>
      <c r="C421" s="7">
        <v>17</v>
      </c>
      <c r="D421" s="7" t="s">
        <v>977</v>
      </c>
      <c r="E421" s="7" t="s">
        <v>978</v>
      </c>
      <c r="F421" s="7" t="s">
        <v>978</v>
      </c>
      <c r="G421" s="7">
        <v>75</v>
      </c>
      <c r="H421" s="7">
        <v>75</v>
      </c>
      <c r="I421" s="26" t="s">
        <v>314</v>
      </c>
      <c r="J421" s="15" t="s">
        <v>66</v>
      </c>
    </row>
    <row r="422" spans="1:10" x14ac:dyDescent="0.25">
      <c r="A422" s="7" t="s">
        <v>193</v>
      </c>
      <c r="B422" s="7" t="s">
        <v>132</v>
      </c>
      <c r="C422" s="7">
        <v>18</v>
      </c>
      <c r="D422" s="7" t="s">
        <v>979</v>
      </c>
      <c r="E422" s="7" t="s">
        <v>980</v>
      </c>
      <c r="F422" s="7" t="s">
        <v>980</v>
      </c>
      <c r="G422" s="7">
        <v>125</v>
      </c>
      <c r="H422" s="7">
        <v>125</v>
      </c>
      <c r="I422" s="26" t="s">
        <v>314</v>
      </c>
      <c r="J422" s="15" t="s">
        <v>66</v>
      </c>
    </row>
    <row r="423" spans="1:10" x14ac:dyDescent="0.25">
      <c r="A423" s="7" t="s">
        <v>193</v>
      </c>
      <c r="B423" s="7" t="s">
        <v>132</v>
      </c>
      <c r="C423" s="7">
        <v>19</v>
      </c>
      <c r="D423" s="7" t="s">
        <v>981</v>
      </c>
      <c r="E423" s="7" t="s">
        <v>982</v>
      </c>
      <c r="F423" s="7" t="s">
        <v>982</v>
      </c>
      <c r="G423" s="7">
        <v>105</v>
      </c>
      <c r="H423" s="7">
        <v>105</v>
      </c>
      <c r="I423" s="26" t="s">
        <v>314</v>
      </c>
      <c r="J423" s="15" t="s">
        <v>66</v>
      </c>
    </row>
    <row r="424" spans="1:10" x14ac:dyDescent="0.25">
      <c r="A424" s="7" t="s">
        <v>193</v>
      </c>
      <c r="B424" s="7" t="s">
        <v>132</v>
      </c>
      <c r="C424" s="7">
        <v>20</v>
      </c>
      <c r="D424" s="7" t="s">
        <v>983</v>
      </c>
      <c r="E424" s="7" t="s">
        <v>984</v>
      </c>
      <c r="F424" s="7" t="s">
        <v>984</v>
      </c>
      <c r="G424" s="7">
        <v>145</v>
      </c>
      <c r="H424" s="7">
        <v>145</v>
      </c>
      <c r="I424" s="26" t="s">
        <v>314</v>
      </c>
      <c r="J424" s="15" t="s">
        <v>66</v>
      </c>
    </row>
    <row r="425" spans="1:10" x14ac:dyDescent="0.25">
      <c r="A425" s="7" t="s">
        <v>193</v>
      </c>
      <c r="B425" s="7" t="s">
        <v>132</v>
      </c>
      <c r="C425" s="7">
        <v>21</v>
      </c>
      <c r="D425" s="7" t="s">
        <v>985</v>
      </c>
      <c r="E425" s="7" t="s">
        <v>986</v>
      </c>
      <c r="F425" s="7" t="s">
        <v>986</v>
      </c>
      <c r="G425" s="7">
        <v>980</v>
      </c>
      <c r="H425" s="7">
        <v>980</v>
      </c>
      <c r="I425" s="26" t="s">
        <v>314</v>
      </c>
      <c r="J425" s="15" t="s">
        <v>66</v>
      </c>
    </row>
    <row r="426" spans="1:10" x14ac:dyDescent="0.25">
      <c r="A426" s="7" t="s">
        <v>193</v>
      </c>
      <c r="B426" s="7" t="s">
        <v>132</v>
      </c>
      <c r="C426" s="7">
        <v>22</v>
      </c>
      <c r="D426" s="7" t="s">
        <v>987</v>
      </c>
      <c r="E426" s="7" t="s">
        <v>988</v>
      </c>
      <c r="F426" s="7" t="s">
        <v>988</v>
      </c>
      <c r="G426" s="7">
        <v>1250</v>
      </c>
      <c r="H426" s="7">
        <v>1250</v>
      </c>
      <c r="I426" s="26" t="s">
        <v>314</v>
      </c>
      <c r="J426" s="15" t="s">
        <v>66</v>
      </c>
    </row>
    <row r="427" spans="1:10" x14ac:dyDescent="0.25">
      <c r="A427" s="7" t="s">
        <v>193</v>
      </c>
      <c r="B427" s="7" t="s">
        <v>132</v>
      </c>
      <c r="C427" s="7">
        <v>23</v>
      </c>
      <c r="D427" s="7" t="s">
        <v>989</v>
      </c>
      <c r="E427" s="7" t="s">
        <v>990</v>
      </c>
      <c r="F427" s="7" t="s">
        <v>990</v>
      </c>
      <c r="G427" s="7">
        <v>480</v>
      </c>
      <c r="H427" s="7">
        <v>480</v>
      </c>
      <c r="I427" s="26" t="s">
        <v>314</v>
      </c>
      <c r="J427" s="15" t="s">
        <v>66</v>
      </c>
    </row>
    <row r="428" spans="1:10" x14ac:dyDescent="0.25">
      <c r="A428" s="7" t="s">
        <v>193</v>
      </c>
      <c r="B428" s="7" t="s">
        <v>132</v>
      </c>
      <c r="C428" s="7">
        <v>24</v>
      </c>
      <c r="D428" s="7" t="s">
        <v>991</v>
      </c>
      <c r="E428" s="7" t="s">
        <v>992</v>
      </c>
      <c r="F428" s="7" t="s">
        <v>992</v>
      </c>
      <c r="G428" s="7">
        <v>480</v>
      </c>
      <c r="H428" s="7">
        <v>480</v>
      </c>
      <c r="I428" s="26" t="s">
        <v>314</v>
      </c>
      <c r="J428" s="15" t="s">
        <v>66</v>
      </c>
    </row>
    <row r="429" spans="1:10" x14ac:dyDescent="0.25">
      <c r="A429" s="7" t="s">
        <v>193</v>
      </c>
      <c r="B429" s="7" t="s">
        <v>132</v>
      </c>
      <c r="C429" s="7">
        <v>25</v>
      </c>
      <c r="D429" s="7" t="s">
        <v>993</v>
      </c>
      <c r="E429" s="7" t="s">
        <v>994</v>
      </c>
      <c r="F429" s="7" t="s">
        <v>994</v>
      </c>
      <c r="G429" s="7">
        <v>650</v>
      </c>
      <c r="H429" s="7">
        <v>650</v>
      </c>
      <c r="I429" s="26" t="s">
        <v>314</v>
      </c>
      <c r="J429" s="15" t="s">
        <v>66</v>
      </c>
    </row>
    <row r="430" spans="1:10" x14ac:dyDescent="0.25">
      <c r="A430" s="7" t="s">
        <v>193</v>
      </c>
      <c r="B430" s="7" t="s">
        <v>132</v>
      </c>
      <c r="C430" s="7">
        <v>26</v>
      </c>
      <c r="D430" s="7" t="s">
        <v>995</v>
      </c>
      <c r="E430" s="7" t="s">
        <v>996</v>
      </c>
      <c r="F430" s="7" t="s">
        <v>996</v>
      </c>
      <c r="G430" s="7">
        <v>680</v>
      </c>
      <c r="H430" s="7">
        <v>680</v>
      </c>
      <c r="I430" s="26" t="s">
        <v>314</v>
      </c>
      <c r="J430" s="15" t="s">
        <v>66</v>
      </c>
    </row>
    <row r="431" spans="1:10" x14ac:dyDescent="0.25">
      <c r="A431" s="7" t="s">
        <v>193</v>
      </c>
      <c r="B431" s="7" t="s">
        <v>132</v>
      </c>
      <c r="C431" s="7">
        <v>27</v>
      </c>
      <c r="D431" s="7" t="s">
        <v>531</v>
      </c>
      <c r="E431" s="7" t="s">
        <v>997</v>
      </c>
      <c r="F431" s="7" t="s">
        <v>997</v>
      </c>
      <c r="G431" s="7">
        <v>490</v>
      </c>
      <c r="H431" s="7">
        <v>490</v>
      </c>
      <c r="I431" s="26" t="s">
        <v>314</v>
      </c>
      <c r="J431" s="15" t="s">
        <v>66</v>
      </c>
    </row>
    <row r="432" spans="1:10" x14ac:dyDescent="0.25">
      <c r="A432" s="7" t="s">
        <v>193</v>
      </c>
      <c r="B432" s="7" t="s">
        <v>132</v>
      </c>
      <c r="C432" s="7">
        <v>28</v>
      </c>
      <c r="D432" s="7" t="s">
        <v>998</v>
      </c>
      <c r="E432" s="7" t="s">
        <v>999</v>
      </c>
      <c r="F432" s="7" t="s">
        <v>999</v>
      </c>
      <c r="G432" s="7">
        <v>490</v>
      </c>
      <c r="H432" s="7">
        <v>490</v>
      </c>
      <c r="I432" s="26" t="s">
        <v>314</v>
      </c>
      <c r="J432" s="15" t="s">
        <v>66</v>
      </c>
    </row>
    <row r="433" spans="1:10" x14ac:dyDescent="0.25">
      <c r="A433" s="7" t="s">
        <v>193</v>
      </c>
      <c r="B433" s="7" t="s">
        <v>132</v>
      </c>
      <c r="C433" s="7">
        <v>29</v>
      </c>
      <c r="D433" s="7" t="s">
        <v>1000</v>
      </c>
      <c r="E433" s="7" t="s">
        <v>1001</v>
      </c>
      <c r="F433" s="7" t="s">
        <v>1001</v>
      </c>
      <c r="G433" s="7">
        <v>220</v>
      </c>
      <c r="H433" s="7">
        <v>220</v>
      </c>
      <c r="I433" s="26" t="s">
        <v>314</v>
      </c>
      <c r="J433" s="15" t="s">
        <v>66</v>
      </c>
    </row>
    <row r="434" spans="1:10" x14ac:dyDescent="0.25">
      <c r="A434" s="7" t="s">
        <v>193</v>
      </c>
      <c r="B434" s="7" t="s">
        <v>132</v>
      </c>
      <c r="C434" s="7">
        <v>30</v>
      </c>
      <c r="D434" s="7" t="s">
        <v>1002</v>
      </c>
      <c r="E434" s="7" t="s">
        <v>1003</v>
      </c>
      <c r="F434" s="7" t="s">
        <v>1003</v>
      </c>
      <c r="G434" s="7">
        <v>220</v>
      </c>
      <c r="H434" s="7">
        <v>220</v>
      </c>
      <c r="I434" s="26" t="s">
        <v>314</v>
      </c>
      <c r="J434" s="15" t="s">
        <v>66</v>
      </c>
    </row>
    <row r="435" spans="1:10" x14ac:dyDescent="0.25">
      <c r="A435" s="7" t="s">
        <v>193</v>
      </c>
      <c r="B435" s="7" t="s">
        <v>132</v>
      </c>
      <c r="C435" s="7">
        <v>31</v>
      </c>
      <c r="D435" s="7" t="s">
        <v>1004</v>
      </c>
      <c r="E435" s="7" t="s">
        <v>1005</v>
      </c>
      <c r="F435" s="7" t="s">
        <v>1005</v>
      </c>
      <c r="G435" s="7">
        <v>280</v>
      </c>
      <c r="H435" s="7">
        <v>280</v>
      </c>
      <c r="I435" s="26" t="s">
        <v>314</v>
      </c>
      <c r="J435" s="15" t="s">
        <v>66</v>
      </c>
    </row>
    <row r="436" spans="1:10" x14ac:dyDescent="0.25">
      <c r="A436" s="7" t="s">
        <v>193</v>
      </c>
      <c r="B436" s="7" t="s">
        <v>132</v>
      </c>
      <c r="C436" s="7">
        <v>32</v>
      </c>
      <c r="D436" s="7" t="s">
        <v>1006</v>
      </c>
      <c r="E436" s="7" t="s">
        <v>1007</v>
      </c>
      <c r="F436" s="7" t="s">
        <v>1007</v>
      </c>
      <c r="G436" s="7">
        <v>45</v>
      </c>
      <c r="H436" s="7">
        <v>45</v>
      </c>
      <c r="I436" s="26" t="s">
        <v>314</v>
      </c>
      <c r="J436" s="15" t="s">
        <v>66</v>
      </c>
    </row>
    <row r="437" spans="1:10" x14ac:dyDescent="0.25">
      <c r="A437" s="7" t="s">
        <v>193</v>
      </c>
      <c r="B437" s="7" t="s">
        <v>132</v>
      </c>
      <c r="C437" s="7">
        <v>33</v>
      </c>
      <c r="D437" s="7" t="s">
        <v>1008</v>
      </c>
      <c r="E437" s="7" t="s">
        <v>1009</v>
      </c>
      <c r="F437" s="7" t="s">
        <v>1009</v>
      </c>
      <c r="G437" s="7">
        <v>65</v>
      </c>
      <c r="H437" s="7">
        <v>65</v>
      </c>
      <c r="I437" s="26" t="s">
        <v>314</v>
      </c>
      <c r="J437" s="15" t="s">
        <v>66</v>
      </c>
    </row>
    <row r="438" spans="1:10" x14ac:dyDescent="0.25">
      <c r="A438" s="7" t="s">
        <v>193</v>
      </c>
      <c r="B438" s="7" t="s">
        <v>132</v>
      </c>
      <c r="C438" s="7">
        <v>34</v>
      </c>
      <c r="D438" s="7" t="s">
        <v>1010</v>
      </c>
      <c r="E438" s="7" t="s">
        <v>1011</v>
      </c>
      <c r="F438" s="7" t="s">
        <v>1011</v>
      </c>
      <c r="G438" s="7">
        <v>45</v>
      </c>
      <c r="H438" s="7">
        <v>45</v>
      </c>
      <c r="I438" s="26" t="s">
        <v>314</v>
      </c>
      <c r="J438" s="15" t="s">
        <v>66</v>
      </c>
    </row>
    <row r="439" spans="1:10" x14ac:dyDescent="0.25">
      <c r="A439" s="7" t="s">
        <v>193</v>
      </c>
      <c r="B439" s="7" t="s">
        <v>132</v>
      </c>
      <c r="C439" s="7">
        <v>35</v>
      </c>
      <c r="D439" s="7" t="s">
        <v>1012</v>
      </c>
      <c r="E439" s="7" t="s">
        <v>1013</v>
      </c>
      <c r="F439" s="7" t="s">
        <v>1013</v>
      </c>
      <c r="G439" s="7">
        <v>45</v>
      </c>
      <c r="H439" s="7">
        <v>45</v>
      </c>
      <c r="I439" s="26" t="s">
        <v>314</v>
      </c>
      <c r="J439" s="15" t="s">
        <v>66</v>
      </c>
    </row>
    <row r="440" spans="1:10" x14ac:dyDescent="0.25">
      <c r="A440" s="7" t="s">
        <v>193</v>
      </c>
      <c r="B440" s="7" t="s">
        <v>132</v>
      </c>
      <c r="C440" s="7">
        <v>36</v>
      </c>
      <c r="D440" s="7" t="s">
        <v>1014</v>
      </c>
      <c r="E440" s="7" t="s">
        <v>1015</v>
      </c>
      <c r="F440" s="7" t="s">
        <v>1015</v>
      </c>
      <c r="G440" s="7">
        <v>45</v>
      </c>
      <c r="H440" s="7">
        <v>45</v>
      </c>
      <c r="I440" s="26" t="s">
        <v>314</v>
      </c>
      <c r="J440" s="15" t="s">
        <v>66</v>
      </c>
    </row>
    <row r="441" spans="1:10" x14ac:dyDescent="0.25">
      <c r="A441" s="7" t="s">
        <v>193</v>
      </c>
      <c r="B441" s="7" t="s">
        <v>132</v>
      </c>
      <c r="C441" s="7">
        <v>37</v>
      </c>
      <c r="D441" s="7" t="s">
        <v>1016</v>
      </c>
      <c r="E441" s="7" t="s">
        <v>1017</v>
      </c>
      <c r="F441" s="7" t="s">
        <v>1017</v>
      </c>
      <c r="G441" s="7">
        <v>45</v>
      </c>
      <c r="H441" s="7">
        <v>45</v>
      </c>
      <c r="I441" s="26" t="s">
        <v>314</v>
      </c>
      <c r="J441" s="15" t="s">
        <v>66</v>
      </c>
    </row>
    <row r="442" spans="1:10" x14ac:dyDescent="0.25">
      <c r="A442" s="7" t="s">
        <v>193</v>
      </c>
      <c r="B442" s="7" t="s">
        <v>132</v>
      </c>
      <c r="C442" s="7">
        <v>38</v>
      </c>
      <c r="D442" s="7" t="s">
        <v>1018</v>
      </c>
      <c r="E442" s="7" t="s">
        <v>1019</v>
      </c>
      <c r="F442" s="7" t="s">
        <v>1019</v>
      </c>
      <c r="G442" s="7">
        <v>950</v>
      </c>
      <c r="H442" s="7">
        <v>950</v>
      </c>
      <c r="I442" s="26" t="s">
        <v>314</v>
      </c>
      <c r="J442" s="15" t="s">
        <v>66</v>
      </c>
    </row>
    <row r="443" spans="1:10" x14ac:dyDescent="0.25">
      <c r="A443" s="7" t="s">
        <v>193</v>
      </c>
      <c r="B443" s="7" t="s">
        <v>132</v>
      </c>
      <c r="C443" s="7">
        <v>39</v>
      </c>
      <c r="D443" s="7" t="s">
        <v>1020</v>
      </c>
      <c r="E443" s="7" t="s">
        <v>1021</v>
      </c>
      <c r="F443" s="7" t="s">
        <v>1021</v>
      </c>
      <c r="G443" s="7">
        <v>115</v>
      </c>
      <c r="H443" s="7">
        <v>115</v>
      </c>
      <c r="I443" s="26" t="s">
        <v>314</v>
      </c>
      <c r="J443" s="15" t="s">
        <v>66</v>
      </c>
    </row>
    <row r="444" spans="1:10" x14ac:dyDescent="0.25">
      <c r="A444" s="7" t="s">
        <v>193</v>
      </c>
      <c r="B444" s="7" t="s">
        <v>132</v>
      </c>
      <c r="C444" s="7">
        <v>40</v>
      </c>
      <c r="D444" s="7" t="s">
        <v>1022</v>
      </c>
      <c r="E444" s="7" t="s">
        <v>1023</v>
      </c>
      <c r="F444" s="7" t="s">
        <v>1023</v>
      </c>
      <c r="G444" s="7">
        <v>65</v>
      </c>
      <c r="H444" s="7">
        <v>65</v>
      </c>
      <c r="I444" s="26" t="s">
        <v>314</v>
      </c>
      <c r="J444" s="15" t="s">
        <v>66</v>
      </c>
    </row>
    <row r="445" spans="1:10" x14ac:dyDescent="0.25">
      <c r="A445" s="7" t="s">
        <v>193</v>
      </c>
      <c r="B445" s="7" t="s">
        <v>132</v>
      </c>
      <c r="C445" s="7">
        <v>41</v>
      </c>
      <c r="D445" s="7" t="s">
        <v>1024</v>
      </c>
      <c r="E445" s="7" t="s">
        <v>1025</v>
      </c>
      <c r="F445" s="7" t="s">
        <v>1025</v>
      </c>
      <c r="G445" s="7">
        <v>105</v>
      </c>
      <c r="H445" s="7">
        <v>105</v>
      </c>
      <c r="I445" s="26" t="s">
        <v>314</v>
      </c>
      <c r="J445" s="15" t="s">
        <v>66</v>
      </c>
    </row>
    <row r="446" spans="1:10" x14ac:dyDescent="0.25">
      <c r="A446" s="7" t="s">
        <v>193</v>
      </c>
      <c r="B446" s="7" t="s">
        <v>132</v>
      </c>
      <c r="C446" s="7">
        <v>42</v>
      </c>
      <c r="D446" s="7" t="s">
        <v>1026</v>
      </c>
      <c r="E446" s="7" t="s">
        <v>1027</v>
      </c>
      <c r="F446" s="7" t="s">
        <v>1027</v>
      </c>
      <c r="G446" s="7">
        <v>210</v>
      </c>
      <c r="H446" s="7">
        <v>210</v>
      </c>
      <c r="I446" s="26" t="s">
        <v>314</v>
      </c>
      <c r="J446" s="15" t="s">
        <v>66</v>
      </c>
    </row>
    <row r="447" spans="1:10" x14ac:dyDescent="0.25">
      <c r="A447" s="7" t="s">
        <v>193</v>
      </c>
      <c r="B447" s="7" t="s">
        <v>132</v>
      </c>
      <c r="C447" s="7">
        <v>43</v>
      </c>
      <c r="D447" s="7" t="s">
        <v>1028</v>
      </c>
      <c r="E447" s="7" t="s">
        <v>1029</v>
      </c>
      <c r="F447" s="7" t="s">
        <v>1029</v>
      </c>
      <c r="G447" s="7">
        <v>65</v>
      </c>
      <c r="H447" s="7">
        <v>65</v>
      </c>
      <c r="I447" s="26" t="s">
        <v>314</v>
      </c>
      <c r="J447" s="15" t="s">
        <v>66</v>
      </c>
    </row>
    <row r="448" spans="1:10" x14ac:dyDescent="0.25">
      <c r="A448" s="7" t="s">
        <v>193</v>
      </c>
      <c r="B448" s="7" t="s">
        <v>132</v>
      </c>
      <c r="C448" s="7">
        <v>44</v>
      </c>
      <c r="D448" s="7" t="s">
        <v>1030</v>
      </c>
      <c r="E448" s="7" t="s">
        <v>1031</v>
      </c>
      <c r="F448" s="7" t="s">
        <v>1031</v>
      </c>
      <c r="G448" s="7">
        <v>55</v>
      </c>
      <c r="H448" s="7">
        <v>55</v>
      </c>
      <c r="I448" s="26" t="s">
        <v>314</v>
      </c>
      <c r="J448" s="15" t="s">
        <v>66</v>
      </c>
    </row>
    <row r="449" spans="1:10" x14ac:dyDescent="0.25">
      <c r="A449" s="7" t="s">
        <v>193</v>
      </c>
      <c r="B449" s="7" t="s">
        <v>132</v>
      </c>
      <c r="C449" s="7">
        <v>45</v>
      </c>
      <c r="D449" s="7" t="s">
        <v>1032</v>
      </c>
      <c r="E449" s="7" t="s">
        <v>1033</v>
      </c>
      <c r="F449" s="7" t="s">
        <v>1033</v>
      </c>
      <c r="G449" s="7">
        <v>45</v>
      </c>
      <c r="H449" s="7">
        <v>45</v>
      </c>
      <c r="I449" s="26" t="s">
        <v>314</v>
      </c>
      <c r="J449" s="15" t="s">
        <v>66</v>
      </c>
    </row>
    <row r="450" spans="1:10" x14ac:dyDescent="0.25">
      <c r="A450" s="7" t="s">
        <v>193</v>
      </c>
      <c r="B450" s="7" t="s">
        <v>132</v>
      </c>
      <c r="C450" s="7">
        <v>46</v>
      </c>
      <c r="D450" s="7" t="s">
        <v>1034</v>
      </c>
      <c r="E450" s="7" t="s">
        <v>1035</v>
      </c>
      <c r="F450" s="7" t="s">
        <v>1035</v>
      </c>
      <c r="G450" s="7">
        <v>45</v>
      </c>
      <c r="H450" s="7">
        <v>45</v>
      </c>
      <c r="I450" s="26" t="s">
        <v>314</v>
      </c>
      <c r="J450" s="15" t="s">
        <v>66</v>
      </c>
    </row>
    <row r="451" spans="1:10" x14ac:dyDescent="0.25">
      <c r="A451" s="7" t="s">
        <v>193</v>
      </c>
      <c r="B451" s="7" t="s">
        <v>132</v>
      </c>
      <c r="C451" s="7">
        <v>47</v>
      </c>
      <c r="D451" s="7" t="s">
        <v>1036</v>
      </c>
      <c r="E451" s="7" t="s">
        <v>1037</v>
      </c>
      <c r="F451" s="7" t="s">
        <v>1037</v>
      </c>
      <c r="G451" s="7">
        <v>95</v>
      </c>
      <c r="H451" s="7">
        <v>95</v>
      </c>
      <c r="I451" s="26" t="s">
        <v>314</v>
      </c>
      <c r="J451" s="15" t="s">
        <v>66</v>
      </c>
    </row>
    <row r="452" spans="1:10" x14ac:dyDescent="0.25">
      <c r="A452" s="7" t="s">
        <v>193</v>
      </c>
      <c r="B452" s="7" t="s">
        <v>132</v>
      </c>
      <c r="C452" s="7">
        <v>48</v>
      </c>
      <c r="D452" s="7" t="s">
        <v>1038</v>
      </c>
      <c r="E452" s="7" t="s">
        <v>1039</v>
      </c>
      <c r="F452" s="7" t="s">
        <v>1039</v>
      </c>
      <c r="G452" s="7">
        <v>35</v>
      </c>
      <c r="H452" s="7">
        <v>35</v>
      </c>
      <c r="I452" s="26" t="s">
        <v>314</v>
      </c>
      <c r="J452" s="15" t="s">
        <v>66</v>
      </c>
    </row>
    <row r="453" spans="1:10" x14ac:dyDescent="0.25">
      <c r="A453" s="7" t="s">
        <v>193</v>
      </c>
      <c r="B453" s="7" t="s">
        <v>132</v>
      </c>
      <c r="C453" s="7">
        <v>49</v>
      </c>
      <c r="D453" s="7" t="s">
        <v>1040</v>
      </c>
      <c r="E453" s="7" t="s">
        <v>1041</v>
      </c>
      <c r="F453" s="7" t="s">
        <v>1041</v>
      </c>
      <c r="G453" s="7">
        <v>75</v>
      </c>
      <c r="H453" s="7">
        <v>75</v>
      </c>
      <c r="I453" s="26" t="s">
        <v>314</v>
      </c>
      <c r="J453" s="15" t="s">
        <v>66</v>
      </c>
    </row>
    <row r="454" spans="1:10" x14ac:dyDescent="0.25">
      <c r="A454" s="7" t="s">
        <v>193</v>
      </c>
      <c r="B454" s="7" t="s">
        <v>132</v>
      </c>
      <c r="C454" s="7">
        <v>50</v>
      </c>
      <c r="D454" s="7" t="s">
        <v>1042</v>
      </c>
      <c r="E454" s="7" t="s">
        <v>1043</v>
      </c>
      <c r="F454" s="7" t="s">
        <v>1043</v>
      </c>
      <c r="G454" s="7">
        <v>80</v>
      </c>
      <c r="H454" s="7">
        <v>80</v>
      </c>
      <c r="I454" s="26" t="s">
        <v>314</v>
      </c>
      <c r="J454" s="15" t="s">
        <v>66</v>
      </c>
    </row>
    <row r="455" spans="1:10" x14ac:dyDescent="0.25">
      <c r="A455" s="7" t="s">
        <v>193</v>
      </c>
      <c r="B455" s="7" t="s">
        <v>132</v>
      </c>
      <c r="C455" s="7">
        <v>51</v>
      </c>
      <c r="D455" s="7" t="s">
        <v>1044</v>
      </c>
      <c r="E455" s="7" t="s">
        <v>1045</v>
      </c>
      <c r="F455" s="7" t="s">
        <v>1045</v>
      </c>
      <c r="G455" s="7">
        <v>280</v>
      </c>
      <c r="H455" s="7">
        <v>280</v>
      </c>
      <c r="I455" s="26" t="s">
        <v>314</v>
      </c>
      <c r="J455" s="15" t="s">
        <v>66</v>
      </c>
    </row>
    <row r="456" spans="1:10" x14ac:dyDescent="0.25">
      <c r="A456" s="7" t="s">
        <v>193</v>
      </c>
      <c r="B456" s="7" t="s">
        <v>132</v>
      </c>
      <c r="C456" s="7">
        <v>52</v>
      </c>
      <c r="D456" s="7" t="s">
        <v>1046</v>
      </c>
      <c r="E456" s="7" t="s">
        <v>1047</v>
      </c>
      <c r="F456" s="7" t="s">
        <v>1047</v>
      </c>
      <c r="G456" s="7">
        <v>260</v>
      </c>
      <c r="H456" s="7">
        <v>260</v>
      </c>
      <c r="I456" s="26" t="s">
        <v>314</v>
      </c>
      <c r="J456" s="15" t="s">
        <v>66</v>
      </c>
    </row>
    <row r="457" spans="1:10" x14ac:dyDescent="0.25">
      <c r="A457" s="7" t="s">
        <v>193</v>
      </c>
      <c r="B457" s="7" t="s">
        <v>132</v>
      </c>
      <c r="C457" s="7">
        <v>53</v>
      </c>
      <c r="D457" s="7" t="s">
        <v>1048</v>
      </c>
      <c r="E457" s="7" t="s">
        <v>1049</v>
      </c>
      <c r="F457" s="7" t="s">
        <v>1049</v>
      </c>
      <c r="G457" s="7">
        <v>2</v>
      </c>
      <c r="H457" s="7">
        <v>2</v>
      </c>
      <c r="I457" s="26" t="s">
        <v>314</v>
      </c>
      <c r="J457" s="15" t="s">
        <v>66</v>
      </c>
    </row>
    <row r="458" spans="1:10" x14ac:dyDescent="0.25">
      <c r="A458" s="7" t="s">
        <v>193</v>
      </c>
      <c r="B458" s="7" t="s">
        <v>132</v>
      </c>
      <c r="C458" s="7">
        <v>54</v>
      </c>
      <c r="D458" s="7" t="s">
        <v>604</v>
      </c>
      <c r="E458" s="7" t="s">
        <v>1050</v>
      </c>
      <c r="F458" s="7" t="s">
        <v>1050</v>
      </c>
      <c r="G458" s="7">
        <v>2</v>
      </c>
      <c r="H458" s="7">
        <v>2</v>
      </c>
      <c r="I458" s="26" t="s">
        <v>314</v>
      </c>
      <c r="J458" s="15" t="s">
        <v>66</v>
      </c>
    </row>
    <row r="459" spans="1:10" x14ac:dyDescent="0.25">
      <c r="A459" s="7" t="s">
        <v>193</v>
      </c>
      <c r="B459" s="7" t="s">
        <v>132</v>
      </c>
      <c r="C459" s="7">
        <v>55</v>
      </c>
      <c r="D459" s="7" t="s">
        <v>1051</v>
      </c>
      <c r="E459" s="7" t="s">
        <v>1050</v>
      </c>
      <c r="F459" s="7" t="s">
        <v>1050</v>
      </c>
      <c r="G459" s="7">
        <v>2</v>
      </c>
      <c r="H459" s="7">
        <v>2</v>
      </c>
      <c r="I459" s="26" t="s">
        <v>314</v>
      </c>
      <c r="J459" s="15" t="s">
        <v>66</v>
      </c>
    </row>
    <row r="460" spans="1:10" x14ac:dyDescent="0.25">
      <c r="A460" s="7" t="s">
        <v>193</v>
      </c>
      <c r="B460" s="7" t="s">
        <v>132</v>
      </c>
      <c r="C460" s="7">
        <v>56</v>
      </c>
      <c r="D460" s="7" t="s">
        <v>1052</v>
      </c>
      <c r="E460" s="7" t="s">
        <v>195</v>
      </c>
      <c r="F460" s="7" t="s">
        <v>196</v>
      </c>
      <c r="G460" s="7">
        <v>150</v>
      </c>
      <c r="H460" s="7">
        <v>150</v>
      </c>
      <c r="I460" s="20" t="s">
        <v>320</v>
      </c>
      <c r="J460" s="15" t="s">
        <v>66</v>
      </c>
    </row>
    <row r="461" spans="1:10" x14ac:dyDescent="0.25">
      <c r="A461" s="7" t="s">
        <v>193</v>
      </c>
      <c r="B461" s="7" t="s">
        <v>132</v>
      </c>
      <c r="C461" s="7">
        <v>57</v>
      </c>
      <c r="D461" s="7" t="s">
        <v>1053</v>
      </c>
      <c r="E461" s="7" t="s">
        <v>1054</v>
      </c>
      <c r="F461" s="7" t="s">
        <v>1054</v>
      </c>
      <c r="G461" s="7">
        <v>295</v>
      </c>
      <c r="H461" s="7">
        <v>295</v>
      </c>
      <c r="I461" s="26" t="s">
        <v>314</v>
      </c>
      <c r="J461" s="15" t="s">
        <v>66</v>
      </c>
    </row>
    <row r="462" spans="1:10" x14ac:dyDescent="0.25">
      <c r="A462" s="7" t="s">
        <v>193</v>
      </c>
      <c r="B462" s="7" t="s">
        <v>132</v>
      </c>
      <c r="C462" s="7">
        <v>58</v>
      </c>
      <c r="D462" s="7" t="s">
        <v>1055</v>
      </c>
      <c r="E462" s="7" t="s">
        <v>1050</v>
      </c>
      <c r="F462" s="7" t="s">
        <v>1050</v>
      </c>
      <c r="G462" s="7">
        <v>2</v>
      </c>
      <c r="H462" s="7">
        <v>2</v>
      </c>
      <c r="I462" s="26" t="s">
        <v>314</v>
      </c>
      <c r="J462" s="15" t="s">
        <v>66</v>
      </c>
    </row>
    <row r="463" spans="1:10" x14ac:dyDescent="0.25">
      <c r="A463" s="7" t="s">
        <v>1056</v>
      </c>
      <c r="B463" s="7" t="s">
        <v>132</v>
      </c>
      <c r="C463" s="7">
        <v>1</v>
      </c>
      <c r="D463" s="7" t="s">
        <v>564</v>
      </c>
      <c r="E463" s="7" t="s">
        <v>565</v>
      </c>
      <c r="F463" s="7" t="s">
        <v>565</v>
      </c>
      <c r="G463" s="7">
        <v>154.72</v>
      </c>
      <c r="H463" s="7">
        <v>154.72</v>
      </c>
      <c r="I463" s="26" t="s">
        <v>314</v>
      </c>
      <c r="J463" s="15" t="s">
        <v>66</v>
      </c>
    </row>
    <row r="464" spans="1:10" x14ac:dyDescent="0.25">
      <c r="A464" s="7" t="s">
        <v>1056</v>
      </c>
      <c r="B464" s="7" t="s">
        <v>132</v>
      </c>
      <c r="C464" s="7">
        <v>2</v>
      </c>
      <c r="D464" s="7" t="s">
        <v>566</v>
      </c>
      <c r="E464" s="7" t="s">
        <v>567</v>
      </c>
      <c r="F464" s="7" t="s">
        <v>567</v>
      </c>
      <c r="G464" s="7">
        <v>182.03</v>
      </c>
      <c r="H464" s="7">
        <v>182.03</v>
      </c>
      <c r="I464" s="26" t="s">
        <v>314</v>
      </c>
      <c r="J464" s="15" t="s">
        <v>66</v>
      </c>
    </row>
    <row r="465" spans="1:10" x14ac:dyDescent="0.25">
      <c r="A465" s="7" t="s">
        <v>1056</v>
      </c>
      <c r="B465" s="7" t="s">
        <v>132</v>
      </c>
      <c r="C465" s="7">
        <v>3</v>
      </c>
      <c r="D465" s="7" t="s">
        <v>568</v>
      </c>
      <c r="E465" s="7" t="s">
        <v>569</v>
      </c>
      <c r="F465" s="7" t="s">
        <v>569</v>
      </c>
      <c r="G465" s="7">
        <v>182.03</v>
      </c>
      <c r="H465" s="7">
        <v>182.03</v>
      </c>
      <c r="I465" s="26" t="s">
        <v>314</v>
      </c>
      <c r="J465" s="15" t="s">
        <v>66</v>
      </c>
    </row>
    <row r="466" spans="1:10" x14ac:dyDescent="0.25">
      <c r="A466" s="7" t="s">
        <v>1056</v>
      </c>
      <c r="B466" s="7" t="s">
        <v>132</v>
      </c>
      <c r="C466" s="7">
        <v>4</v>
      </c>
      <c r="D466" s="7" t="s">
        <v>1057</v>
      </c>
      <c r="E466" s="7" t="s">
        <v>1058</v>
      </c>
      <c r="F466" s="7" t="s">
        <v>1058</v>
      </c>
      <c r="G466" s="7">
        <v>46.33</v>
      </c>
      <c r="H466" s="7">
        <v>46.33</v>
      </c>
      <c r="I466" s="26" t="s">
        <v>314</v>
      </c>
      <c r="J466" s="15" t="s">
        <v>66</v>
      </c>
    </row>
    <row r="467" spans="1:10" x14ac:dyDescent="0.25">
      <c r="A467" s="7" t="s">
        <v>1056</v>
      </c>
      <c r="B467" s="7" t="s">
        <v>132</v>
      </c>
      <c r="C467" s="7">
        <v>5</v>
      </c>
      <c r="D467" s="7" t="s">
        <v>1059</v>
      </c>
      <c r="E467" s="7" t="s">
        <v>1060</v>
      </c>
      <c r="F467" s="7" t="s">
        <v>1060</v>
      </c>
      <c r="G467" s="7">
        <v>46.34</v>
      </c>
      <c r="H467" s="7">
        <v>46.34</v>
      </c>
      <c r="I467" s="26" t="s">
        <v>314</v>
      </c>
      <c r="J467" s="15" t="s">
        <v>66</v>
      </c>
    </row>
    <row r="468" spans="1:10" x14ac:dyDescent="0.25">
      <c r="A468" s="7" t="s">
        <v>1056</v>
      </c>
      <c r="B468" s="7" t="s">
        <v>132</v>
      </c>
      <c r="C468" s="7">
        <v>6</v>
      </c>
      <c r="D468" s="7" t="s">
        <v>1061</v>
      </c>
      <c r="E468" s="7" t="s">
        <v>1062</v>
      </c>
      <c r="F468" s="7" t="s">
        <v>1062</v>
      </c>
      <c r="G468" s="7">
        <v>91.01</v>
      </c>
      <c r="H468" s="7">
        <v>91.01</v>
      </c>
      <c r="I468" s="26" t="s">
        <v>314</v>
      </c>
      <c r="J468" s="15" t="s">
        <v>66</v>
      </c>
    </row>
    <row r="469" spans="1:10" x14ac:dyDescent="0.25">
      <c r="A469" s="7" t="s">
        <v>1056</v>
      </c>
      <c r="B469" s="7" t="s">
        <v>132</v>
      </c>
      <c r="C469" s="7">
        <v>7</v>
      </c>
      <c r="D469" s="7" t="s">
        <v>700</v>
      </c>
      <c r="E469" s="7" t="s">
        <v>701</v>
      </c>
      <c r="F469" s="7" t="s">
        <v>701</v>
      </c>
      <c r="G469" s="7">
        <v>11.28</v>
      </c>
      <c r="H469" s="7">
        <v>11.28</v>
      </c>
      <c r="I469" s="26" t="s">
        <v>314</v>
      </c>
      <c r="J469" s="15" t="s">
        <v>66</v>
      </c>
    </row>
    <row r="470" spans="1:10" x14ac:dyDescent="0.25">
      <c r="A470" s="7" t="s">
        <v>1056</v>
      </c>
      <c r="B470" s="7" t="s">
        <v>132</v>
      </c>
      <c r="C470" s="7">
        <v>8</v>
      </c>
      <c r="D470" s="7" t="s">
        <v>690</v>
      </c>
      <c r="E470" s="7" t="s">
        <v>152</v>
      </c>
      <c r="F470" s="7" t="s">
        <v>152</v>
      </c>
      <c r="G470" s="7">
        <v>695.04</v>
      </c>
      <c r="H470" s="7">
        <v>695.04</v>
      </c>
      <c r="I470" s="26" t="s">
        <v>314</v>
      </c>
      <c r="J470" s="15" t="s">
        <v>66</v>
      </c>
    </row>
    <row r="471" spans="1:10" x14ac:dyDescent="0.25">
      <c r="A471" s="7" t="s">
        <v>1056</v>
      </c>
      <c r="B471" s="7" t="s">
        <v>132</v>
      </c>
      <c r="C471" s="7">
        <v>9</v>
      </c>
      <c r="D471" s="7" t="s">
        <v>1063</v>
      </c>
      <c r="E471" s="7" t="s">
        <v>1064</v>
      </c>
      <c r="F471" s="7" t="s">
        <v>1064</v>
      </c>
      <c r="G471" s="7">
        <v>7.09</v>
      </c>
      <c r="H471" s="7">
        <v>7.09</v>
      </c>
      <c r="I471" s="26" t="s">
        <v>314</v>
      </c>
      <c r="J471" s="15" t="s">
        <v>66</v>
      </c>
    </row>
    <row r="472" spans="1:10" x14ac:dyDescent="0.25">
      <c r="A472" s="7" t="s">
        <v>1056</v>
      </c>
      <c r="B472" s="7" t="s">
        <v>132</v>
      </c>
      <c r="C472" s="7">
        <v>10</v>
      </c>
      <c r="D472" s="7" t="s">
        <v>876</v>
      </c>
      <c r="E472" s="7" t="s">
        <v>683</v>
      </c>
      <c r="F472" s="7" t="s">
        <v>683</v>
      </c>
      <c r="G472" s="7">
        <v>7.09</v>
      </c>
      <c r="H472" s="7">
        <v>7.09</v>
      </c>
      <c r="I472" s="26" t="s">
        <v>314</v>
      </c>
      <c r="J472" s="15" t="s">
        <v>66</v>
      </c>
    </row>
    <row r="473" spans="1:10" x14ac:dyDescent="0.25">
      <c r="A473" s="7" t="s">
        <v>1056</v>
      </c>
      <c r="B473" s="7" t="s">
        <v>132</v>
      </c>
      <c r="C473" s="7">
        <v>11</v>
      </c>
      <c r="D473" s="7" t="s">
        <v>877</v>
      </c>
      <c r="E473" s="7" t="s">
        <v>878</v>
      </c>
      <c r="F473" s="7" t="s">
        <v>878</v>
      </c>
      <c r="G473" s="7">
        <v>157.22</v>
      </c>
      <c r="H473" s="7">
        <v>157.22</v>
      </c>
      <c r="I473" s="26" t="s">
        <v>314</v>
      </c>
      <c r="J473" s="15" t="s">
        <v>66</v>
      </c>
    </row>
    <row r="474" spans="1:10" x14ac:dyDescent="0.25">
      <c r="A474" s="7" t="s">
        <v>1056</v>
      </c>
      <c r="B474" s="7" t="s">
        <v>132</v>
      </c>
      <c r="C474" s="7">
        <v>12</v>
      </c>
      <c r="D474" s="7" t="s">
        <v>1065</v>
      </c>
      <c r="E474" s="7" t="s">
        <v>1066</v>
      </c>
      <c r="F474" s="7" t="s">
        <v>1066</v>
      </c>
      <c r="G474" s="7">
        <v>69.33</v>
      </c>
      <c r="H474" s="7">
        <v>69.33</v>
      </c>
      <c r="I474" s="26" t="s">
        <v>314</v>
      </c>
      <c r="J474" s="15" t="s">
        <v>66</v>
      </c>
    </row>
    <row r="475" spans="1:10" x14ac:dyDescent="0.25">
      <c r="A475" s="7" t="s">
        <v>1056</v>
      </c>
      <c r="B475" s="7" t="s">
        <v>132</v>
      </c>
      <c r="C475" s="7">
        <v>13</v>
      </c>
      <c r="D475" s="7" t="s">
        <v>1067</v>
      </c>
      <c r="E475" s="7" t="s">
        <v>1068</v>
      </c>
      <c r="F475" s="7" t="s">
        <v>1068</v>
      </c>
      <c r="G475" s="7">
        <v>121.31</v>
      </c>
      <c r="H475" s="7">
        <v>121.31</v>
      </c>
      <c r="I475" s="26" t="s">
        <v>314</v>
      </c>
      <c r="J475" s="15" t="s">
        <v>66</v>
      </c>
    </row>
    <row r="476" spans="1:10" x14ac:dyDescent="0.25">
      <c r="A476" s="7" t="s">
        <v>1056</v>
      </c>
      <c r="B476" s="7" t="s">
        <v>132</v>
      </c>
      <c r="C476" s="7">
        <v>14</v>
      </c>
      <c r="D476" s="7" t="s">
        <v>1069</v>
      </c>
      <c r="E476" s="7" t="s">
        <v>1070</v>
      </c>
      <c r="F476" s="7" t="s">
        <v>1070</v>
      </c>
      <c r="G476" s="7">
        <v>661.95</v>
      </c>
      <c r="H476" s="7">
        <v>661.95</v>
      </c>
      <c r="I476" s="26" t="s">
        <v>314</v>
      </c>
      <c r="J476" s="15" t="s">
        <v>66</v>
      </c>
    </row>
  </sheetData>
  <autoFilter ref="A2:J476"/>
  <mergeCells count="1">
    <mergeCell ref="A1:J1"/>
  </mergeCells>
  <hyperlinks>
    <hyperlink ref="J3" r:id="rId1"/>
    <hyperlink ref="J4" r:id="rId2"/>
    <hyperlink ref="J5" r:id="rId3"/>
    <hyperlink ref="J6" r:id="rId4"/>
    <hyperlink ref="J7" r:id="rId5"/>
    <hyperlink ref="J8" r:id="rId6"/>
    <hyperlink ref="J9" r:id="rId7"/>
    <hyperlink ref="J10" r:id="rId8"/>
    <hyperlink ref="J11" r:id="rId9"/>
    <hyperlink ref="J12" r:id="rId10"/>
    <hyperlink ref="J13" r:id="rId11"/>
    <hyperlink ref="J14" r:id="rId12"/>
    <hyperlink ref="J15" r:id="rId13"/>
    <hyperlink ref="J16" r:id="rId14"/>
    <hyperlink ref="J17" r:id="rId15"/>
    <hyperlink ref="J18" r:id="rId16"/>
    <hyperlink ref="J19" r:id="rId17"/>
    <hyperlink ref="J20" r:id="rId18"/>
    <hyperlink ref="J21" r:id="rId19"/>
    <hyperlink ref="J22" r:id="rId20"/>
    <hyperlink ref="J23" r:id="rId21"/>
    <hyperlink ref="J24" r:id="rId22"/>
    <hyperlink ref="J25" r:id="rId23"/>
    <hyperlink ref="J26" r:id="rId24"/>
    <hyperlink ref="J27" r:id="rId25"/>
    <hyperlink ref="J28" r:id="rId26"/>
    <hyperlink ref="J29" r:id="rId27"/>
    <hyperlink ref="J30" r:id="rId28"/>
    <hyperlink ref="J31" r:id="rId29"/>
    <hyperlink ref="J32" r:id="rId30"/>
    <hyperlink ref="J33" r:id="rId31"/>
    <hyperlink ref="J34" r:id="rId32"/>
    <hyperlink ref="J35" r:id="rId33"/>
    <hyperlink ref="J36" r:id="rId34"/>
    <hyperlink ref="J37" r:id="rId35"/>
    <hyperlink ref="J38" r:id="rId36"/>
    <hyperlink ref="J39" r:id="rId37"/>
    <hyperlink ref="J40" r:id="rId38"/>
    <hyperlink ref="J41" r:id="rId39"/>
    <hyperlink ref="J42" r:id="rId40"/>
    <hyperlink ref="J43" r:id="rId41"/>
    <hyperlink ref="J44" r:id="rId42"/>
    <hyperlink ref="J45" r:id="rId43"/>
    <hyperlink ref="J46" r:id="rId44"/>
    <hyperlink ref="J47" r:id="rId45"/>
    <hyperlink ref="J48" r:id="rId46"/>
    <hyperlink ref="J49" r:id="rId47"/>
    <hyperlink ref="J50" r:id="rId48"/>
    <hyperlink ref="J51" r:id="rId49"/>
    <hyperlink ref="J52" r:id="rId50"/>
    <hyperlink ref="J53" r:id="rId51"/>
    <hyperlink ref="J54" r:id="rId52"/>
    <hyperlink ref="J55" r:id="rId53"/>
    <hyperlink ref="J56" r:id="rId54"/>
    <hyperlink ref="J57" r:id="rId55"/>
    <hyperlink ref="J58" r:id="rId56"/>
    <hyperlink ref="J59" r:id="rId57"/>
    <hyperlink ref="J60" r:id="rId58"/>
    <hyperlink ref="J61" r:id="rId59"/>
    <hyperlink ref="J62" r:id="rId60"/>
    <hyperlink ref="J63" r:id="rId61"/>
    <hyperlink ref="J64" r:id="rId62"/>
    <hyperlink ref="J65" r:id="rId63"/>
    <hyperlink ref="J66" r:id="rId64"/>
    <hyperlink ref="J67" r:id="rId65"/>
    <hyperlink ref="J68" r:id="rId66"/>
    <hyperlink ref="J69" r:id="rId67"/>
    <hyperlink ref="J70" r:id="rId68"/>
    <hyperlink ref="J71" r:id="rId69"/>
    <hyperlink ref="J72" r:id="rId70"/>
    <hyperlink ref="J73" r:id="rId71"/>
    <hyperlink ref="J74" r:id="rId72"/>
    <hyperlink ref="J75" r:id="rId73"/>
    <hyperlink ref="J76" r:id="rId74"/>
    <hyperlink ref="J77" r:id="rId75"/>
    <hyperlink ref="J78" r:id="rId76"/>
    <hyperlink ref="J79" r:id="rId77"/>
    <hyperlink ref="J80" r:id="rId78"/>
    <hyperlink ref="J81" r:id="rId79"/>
    <hyperlink ref="J82" r:id="rId80"/>
    <hyperlink ref="J83" r:id="rId81"/>
    <hyperlink ref="J84" r:id="rId82"/>
    <hyperlink ref="J85" r:id="rId83"/>
    <hyperlink ref="J86" r:id="rId84"/>
    <hyperlink ref="J87" r:id="rId85"/>
    <hyperlink ref="J88" r:id="rId86"/>
    <hyperlink ref="J89" r:id="rId87"/>
    <hyperlink ref="J90" r:id="rId88"/>
    <hyperlink ref="J91" r:id="rId89"/>
    <hyperlink ref="J92" r:id="rId90"/>
    <hyperlink ref="J93" r:id="rId91"/>
    <hyperlink ref="J94" r:id="rId92"/>
    <hyperlink ref="J95" r:id="rId93"/>
    <hyperlink ref="J96" r:id="rId94"/>
    <hyperlink ref="J97" r:id="rId95"/>
    <hyperlink ref="J98" r:id="rId96"/>
    <hyperlink ref="J99" r:id="rId97"/>
    <hyperlink ref="J100" r:id="rId98"/>
    <hyperlink ref="J101" r:id="rId99"/>
    <hyperlink ref="J102" r:id="rId100"/>
    <hyperlink ref="J103" r:id="rId101"/>
    <hyperlink ref="J104" r:id="rId102"/>
    <hyperlink ref="J105" r:id="rId103"/>
    <hyperlink ref="J106" r:id="rId104"/>
    <hyperlink ref="J107" r:id="rId105"/>
    <hyperlink ref="J108" r:id="rId106"/>
    <hyperlink ref="J109" r:id="rId107"/>
    <hyperlink ref="J110" r:id="rId108"/>
    <hyperlink ref="J111" r:id="rId109"/>
    <hyperlink ref="J112" r:id="rId110"/>
    <hyperlink ref="J113" r:id="rId111"/>
    <hyperlink ref="J114" r:id="rId112"/>
    <hyperlink ref="J115" r:id="rId113"/>
    <hyperlink ref="J116" r:id="rId114"/>
    <hyperlink ref="J117" r:id="rId115"/>
    <hyperlink ref="J118" r:id="rId116"/>
    <hyperlink ref="J119" r:id="rId117"/>
    <hyperlink ref="J120" r:id="rId118"/>
    <hyperlink ref="J121" r:id="rId119"/>
    <hyperlink ref="J122" r:id="rId120"/>
    <hyperlink ref="J123" r:id="rId121"/>
    <hyperlink ref="J124" r:id="rId122"/>
    <hyperlink ref="J125" r:id="rId123"/>
    <hyperlink ref="J126" r:id="rId124"/>
    <hyperlink ref="J127" r:id="rId125"/>
    <hyperlink ref="J128" r:id="rId126"/>
    <hyperlink ref="J129" r:id="rId127"/>
    <hyperlink ref="J130" r:id="rId128"/>
    <hyperlink ref="J131" r:id="rId129"/>
    <hyperlink ref="J132" r:id="rId130"/>
    <hyperlink ref="J133" r:id="rId131"/>
    <hyperlink ref="J134" r:id="rId132"/>
    <hyperlink ref="J135" r:id="rId133"/>
    <hyperlink ref="J136" r:id="rId134"/>
    <hyperlink ref="J137" r:id="rId135"/>
    <hyperlink ref="J138" r:id="rId136"/>
    <hyperlink ref="J139" r:id="rId137"/>
    <hyperlink ref="J140" r:id="rId138"/>
    <hyperlink ref="J141" r:id="rId139"/>
    <hyperlink ref="J142" r:id="rId140"/>
    <hyperlink ref="J143" r:id="rId141"/>
    <hyperlink ref="J144" r:id="rId142"/>
    <hyperlink ref="J145" r:id="rId143"/>
    <hyperlink ref="J146" r:id="rId144"/>
    <hyperlink ref="J147" r:id="rId145"/>
    <hyperlink ref="J148" r:id="rId146"/>
    <hyperlink ref="J149" r:id="rId147"/>
    <hyperlink ref="J150" r:id="rId148"/>
    <hyperlink ref="J151" r:id="rId149"/>
    <hyperlink ref="J152" r:id="rId150"/>
    <hyperlink ref="J153" r:id="rId151"/>
    <hyperlink ref="J154" r:id="rId152"/>
    <hyperlink ref="J155" r:id="rId153"/>
    <hyperlink ref="J156" r:id="rId154"/>
    <hyperlink ref="J157" r:id="rId155"/>
    <hyperlink ref="J158" r:id="rId156"/>
    <hyperlink ref="J159" r:id="rId157"/>
    <hyperlink ref="J160" r:id="rId158"/>
    <hyperlink ref="J161" r:id="rId159"/>
    <hyperlink ref="J162" r:id="rId160"/>
    <hyperlink ref="J163" r:id="rId161"/>
    <hyperlink ref="J164" r:id="rId162"/>
    <hyperlink ref="J165" r:id="rId163"/>
    <hyperlink ref="J166" r:id="rId164"/>
    <hyperlink ref="J167" r:id="rId165"/>
    <hyperlink ref="J168" r:id="rId166"/>
    <hyperlink ref="J169" r:id="rId167"/>
    <hyperlink ref="J170" r:id="rId168"/>
    <hyperlink ref="J171" r:id="rId169"/>
    <hyperlink ref="J172" r:id="rId170"/>
    <hyperlink ref="J173" r:id="rId171"/>
    <hyperlink ref="J174" r:id="rId172"/>
    <hyperlink ref="J175" r:id="rId173"/>
    <hyperlink ref="J176" r:id="rId174"/>
    <hyperlink ref="J177" r:id="rId175"/>
    <hyperlink ref="J178" r:id="rId176"/>
    <hyperlink ref="J179" r:id="rId177"/>
    <hyperlink ref="J180" r:id="rId178"/>
    <hyperlink ref="J181" r:id="rId179"/>
    <hyperlink ref="J182" r:id="rId180"/>
    <hyperlink ref="J183" r:id="rId181"/>
    <hyperlink ref="J184" r:id="rId182"/>
    <hyperlink ref="J185" r:id="rId183"/>
    <hyperlink ref="J186" r:id="rId184"/>
    <hyperlink ref="J187" r:id="rId185"/>
    <hyperlink ref="J188" r:id="rId186"/>
    <hyperlink ref="J189" r:id="rId187"/>
    <hyperlink ref="J190" r:id="rId188"/>
    <hyperlink ref="J191" r:id="rId189"/>
    <hyperlink ref="J192" r:id="rId190"/>
    <hyperlink ref="J193" r:id="rId191"/>
    <hyperlink ref="J194" r:id="rId192"/>
    <hyperlink ref="J195" r:id="rId193"/>
    <hyperlink ref="J196" r:id="rId194"/>
    <hyperlink ref="J197" r:id="rId195"/>
    <hyperlink ref="J198" r:id="rId196"/>
    <hyperlink ref="J199" r:id="rId197"/>
    <hyperlink ref="J200" r:id="rId198"/>
    <hyperlink ref="J201" r:id="rId199"/>
    <hyperlink ref="J202" r:id="rId200"/>
    <hyperlink ref="J203" r:id="rId201"/>
    <hyperlink ref="J204" r:id="rId202"/>
    <hyperlink ref="J205" r:id="rId203"/>
    <hyperlink ref="J206" r:id="rId204"/>
    <hyperlink ref="J207" r:id="rId205"/>
    <hyperlink ref="J208" r:id="rId206"/>
    <hyperlink ref="J209" r:id="rId207"/>
    <hyperlink ref="J210" r:id="rId208"/>
    <hyperlink ref="J211" r:id="rId209"/>
    <hyperlink ref="J212" r:id="rId210"/>
    <hyperlink ref="J213" r:id="rId211"/>
    <hyperlink ref="J214" r:id="rId212"/>
    <hyperlink ref="J215" r:id="rId213"/>
    <hyperlink ref="J216" r:id="rId214"/>
    <hyperlink ref="J217" r:id="rId215"/>
    <hyperlink ref="J218" r:id="rId216"/>
    <hyperlink ref="J219" r:id="rId217"/>
    <hyperlink ref="J220" r:id="rId218"/>
    <hyperlink ref="J221" r:id="rId219"/>
    <hyperlink ref="J222" r:id="rId220"/>
    <hyperlink ref="J223" r:id="rId221"/>
    <hyperlink ref="J224" r:id="rId222"/>
    <hyperlink ref="J225" r:id="rId223"/>
    <hyperlink ref="J226" r:id="rId224"/>
    <hyperlink ref="J227" r:id="rId225"/>
    <hyperlink ref="J228" r:id="rId226"/>
    <hyperlink ref="J229" r:id="rId227"/>
    <hyperlink ref="J230" r:id="rId228"/>
    <hyperlink ref="J231" r:id="rId229"/>
    <hyperlink ref="J232" r:id="rId230"/>
    <hyperlink ref="J233" r:id="rId231"/>
    <hyperlink ref="J234" r:id="rId232"/>
    <hyperlink ref="J235" r:id="rId233"/>
    <hyperlink ref="J236" r:id="rId234"/>
    <hyperlink ref="J237" r:id="rId235"/>
    <hyperlink ref="J238" r:id="rId236"/>
    <hyperlink ref="J239" r:id="rId237"/>
    <hyperlink ref="J240" r:id="rId238"/>
    <hyperlink ref="J241" r:id="rId239"/>
    <hyperlink ref="J242" r:id="rId240"/>
    <hyperlink ref="J243" r:id="rId241"/>
    <hyperlink ref="J244" r:id="rId242"/>
    <hyperlink ref="J245" r:id="rId243"/>
    <hyperlink ref="J246" r:id="rId244"/>
    <hyperlink ref="J247" r:id="rId245"/>
    <hyperlink ref="J248" r:id="rId246"/>
    <hyperlink ref="J249" r:id="rId247"/>
    <hyperlink ref="J250" r:id="rId248"/>
    <hyperlink ref="J251" r:id="rId249"/>
    <hyperlink ref="J252" r:id="rId250"/>
    <hyperlink ref="J253" r:id="rId251"/>
    <hyperlink ref="J254" r:id="rId252"/>
    <hyperlink ref="J255" r:id="rId253"/>
    <hyperlink ref="J256" r:id="rId254"/>
    <hyperlink ref="J257" r:id="rId255"/>
    <hyperlink ref="J258" r:id="rId256"/>
    <hyperlink ref="J259" r:id="rId257"/>
    <hyperlink ref="J260" r:id="rId258"/>
    <hyperlink ref="J261" r:id="rId259"/>
    <hyperlink ref="J262" r:id="rId260"/>
    <hyperlink ref="J263" r:id="rId261"/>
    <hyperlink ref="J264" r:id="rId262"/>
    <hyperlink ref="J265" r:id="rId263"/>
    <hyperlink ref="J266" r:id="rId264"/>
    <hyperlink ref="J267" r:id="rId265"/>
    <hyperlink ref="J268" r:id="rId266"/>
    <hyperlink ref="J269" r:id="rId267"/>
    <hyperlink ref="J270" r:id="rId268"/>
    <hyperlink ref="J271" r:id="rId269"/>
    <hyperlink ref="J272" r:id="rId270"/>
    <hyperlink ref="J273" r:id="rId271"/>
    <hyperlink ref="J274" r:id="rId272"/>
    <hyperlink ref="J275" r:id="rId273"/>
    <hyperlink ref="J276" r:id="rId274"/>
    <hyperlink ref="J277" r:id="rId275"/>
    <hyperlink ref="J278" r:id="rId276"/>
    <hyperlink ref="J279" r:id="rId277"/>
    <hyperlink ref="J280" r:id="rId278"/>
    <hyperlink ref="J281" r:id="rId279"/>
    <hyperlink ref="J282" r:id="rId280"/>
    <hyperlink ref="J283" r:id="rId281"/>
    <hyperlink ref="J284" r:id="rId282"/>
    <hyperlink ref="J285" r:id="rId283"/>
    <hyperlink ref="J286" r:id="rId284"/>
    <hyperlink ref="J287" r:id="rId285"/>
    <hyperlink ref="J288" r:id="rId286"/>
    <hyperlink ref="J289" r:id="rId287"/>
    <hyperlink ref="J290" r:id="rId288"/>
    <hyperlink ref="J291" r:id="rId289"/>
    <hyperlink ref="J292" r:id="rId290"/>
    <hyperlink ref="J293" r:id="rId291"/>
    <hyperlink ref="J294" r:id="rId292"/>
    <hyperlink ref="J295" r:id="rId293"/>
    <hyperlink ref="J296" r:id="rId294"/>
    <hyperlink ref="J297" r:id="rId295"/>
    <hyperlink ref="J298" r:id="rId296"/>
    <hyperlink ref="J299" r:id="rId297"/>
    <hyperlink ref="J300" r:id="rId298"/>
    <hyperlink ref="J301" r:id="rId299"/>
    <hyperlink ref="J302" r:id="rId300"/>
    <hyperlink ref="J303" r:id="rId301"/>
    <hyperlink ref="J304" r:id="rId302"/>
    <hyperlink ref="J305" r:id="rId303"/>
    <hyperlink ref="J306" r:id="rId304"/>
    <hyperlink ref="J307" r:id="rId305"/>
    <hyperlink ref="J308" r:id="rId306"/>
    <hyperlink ref="J309" r:id="rId307"/>
    <hyperlink ref="J310" r:id="rId308"/>
    <hyperlink ref="J311" r:id="rId309"/>
    <hyperlink ref="J312" r:id="rId310"/>
    <hyperlink ref="J313" r:id="rId311"/>
    <hyperlink ref="J314" r:id="rId312"/>
    <hyperlink ref="J315" r:id="rId313"/>
    <hyperlink ref="J316" r:id="rId314"/>
    <hyperlink ref="J317" r:id="rId315"/>
    <hyperlink ref="J318" r:id="rId316"/>
    <hyperlink ref="J319" r:id="rId317"/>
    <hyperlink ref="J320" r:id="rId318"/>
    <hyperlink ref="J321" r:id="rId319"/>
    <hyperlink ref="J322" r:id="rId320"/>
    <hyperlink ref="J323" r:id="rId321"/>
    <hyperlink ref="J324" r:id="rId322"/>
    <hyperlink ref="J325" r:id="rId323"/>
    <hyperlink ref="J326" r:id="rId324"/>
    <hyperlink ref="J327" r:id="rId325"/>
    <hyperlink ref="J328" r:id="rId326"/>
    <hyperlink ref="J329" r:id="rId327"/>
    <hyperlink ref="J330" r:id="rId328"/>
    <hyperlink ref="J331" r:id="rId329"/>
    <hyperlink ref="J332" r:id="rId330"/>
    <hyperlink ref="J333" r:id="rId331"/>
    <hyperlink ref="J334" r:id="rId332"/>
    <hyperlink ref="J335" r:id="rId333"/>
    <hyperlink ref="J336" r:id="rId334"/>
    <hyperlink ref="J337" r:id="rId335"/>
    <hyperlink ref="J338" r:id="rId336"/>
    <hyperlink ref="J339" r:id="rId337"/>
    <hyperlink ref="J340" r:id="rId338"/>
    <hyperlink ref="J341" r:id="rId339"/>
    <hyperlink ref="J342" r:id="rId340"/>
    <hyperlink ref="J343" r:id="rId341"/>
    <hyperlink ref="J344" r:id="rId342"/>
    <hyperlink ref="J345" r:id="rId343"/>
    <hyperlink ref="J346" r:id="rId344"/>
    <hyperlink ref="J347" r:id="rId345"/>
    <hyperlink ref="J348" r:id="rId346"/>
    <hyperlink ref="J349" r:id="rId347"/>
    <hyperlink ref="J350" r:id="rId348"/>
    <hyperlink ref="J351" r:id="rId349"/>
    <hyperlink ref="J352" r:id="rId350"/>
    <hyperlink ref="J353" r:id="rId351"/>
    <hyperlink ref="J354" r:id="rId352"/>
    <hyperlink ref="J355" r:id="rId353"/>
    <hyperlink ref="J356" r:id="rId354"/>
    <hyperlink ref="J357" r:id="rId355"/>
    <hyperlink ref="J358" r:id="rId356"/>
    <hyperlink ref="J359" r:id="rId357"/>
    <hyperlink ref="J360" r:id="rId358"/>
    <hyperlink ref="J361" r:id="rId359"/>
    <hyperlink ref="J362" r:id="rId360"/>
    <hyperlink ref="J363" r:id="rId361"/>
    <hyperlink ref="J364" r:id="rId362"/>
    <hyperlink ref="J365" r:id="rId363"/>
    <hyperlink ref="J366" r:id="rId364"/>
    <hyperlink ref="J367" r:id="rId365"/>
    <hyperlink ref="J368" r:id="rId366"/>
    <hyperlink ref="J369" r:id="rId367"/>
    <hyperlink ref="J370" r:id="rId368"/>
    <hyperlink ref="J371" r:id="rId369"/>
    <hyperlink ref="J372" r:id="rId370"/>
    <hyperlink ref="J373" r:id="rId371"/>
    <hyperlink ref="J374" r:id="rId372"/>
    <hyperlink ref="J375" r:id="rId373"/>
    <hyperlink ref="J376" r:id="rId374"/>
    <hyperlink ref="J377" r:id="rId375"/>
    <hyperlink ref="J378" r:id="rId376"/>
    <hyperlink ref="J379" r:id="rId377"/>
    <hyperlink ref="J380" r:id="rId378"/>
    <hyperlink ref="J381" r:id="rId379"/>
    <hyperlink ref="J382" r:id="rId380"/>
    <hyperlink ref="J383" r:id="rId381"/>
    <hyperlink ref="J384" r:id="rId382"/>
    <hyperlink ref="J385" r:id="rId383"/>
    <hyperlink ref="J386" r:id="rId384"/>
    <hyperlink ref="J387" r:id="rId385"/>
    <hyperlink ref="J388" r:id="rId386"/>
    <hyperlink ref="J389" r:id="rId387"/>
    <hyperlink ref="J390" r:id="rId388"/>
    <hyperlink ref="J391" r:id="rId389"/>
    <hyperlink ref="J392" r:id="rId390"/>
    <hyperlink ref="J393" r:id="rId391"/>
    <hyperlink ref="J394" r:id="rId392"/>
    <hyperlink ref="J395" r:id="rId393"/>
    <hyperlink ref="J396" r:id="rId394"/>
    <hyperlink ref="J397" r:id="rId395"/>
    <hyperlink ref="J398" r:id="rId396"/>
    <hyperlink ref="J399" r:id="rId397"/>
    <hyperlink ref="J400" r:id="rId398"/>
    <hyperlink ref="J401" r:id="rId399"/>
    <hyperlink ref="J402" r:id="rId400"/>
    <hyperlink ref="J403" r:id="rId401"/>
    <hyperlink ref="J404" r:id="rId402"/>
    <hyperlink ref="J405" r:id="rId403"/>
    <hyperlink ref="J406" r:id="rId404"/>
    <hyperlink ref="J407" r:id="rId405"/>
    <hyperlink ref="J408" r:id="rId406"/>
    <hyperlink ref="J409" r:id="rId407"/>
    <hyperlink ref="J410" r:id="rId408"/>
    <hyperlink ref="J411" r:id="rId409"/>
    <hyperlink ref="J412" r:id="rId410"/>
    <hyperlink ref="J413" r:id="rId411"/>
    <hyperlink ref="J414" r:id="rId412"/>
    <hyperlink ref="J415" r:id="rId413"/>
    <hyperlink ref="J416" r:id="rId414"/>
    <hyperlink ref="J417" r:id="rId415"/>
    <hyperlink ref="J418" r:id="rId416"/>
    <hyperlink ref="J419" r:id="rId417"/>
    <hyperlink ref="J420" r:id="rId418"/>
    <hyperlink ref="J421" r:id="rId419"/>
    <hyperlink ref="J422" r:id="rId420"/>
    <hyperlink ref="J423" r:id="rId421"/>
    <hyperlink ref="J424" r:id="rId422"/>
    <hyperlink ref="J425" r:id="rId423"/>
    <hyperlink ref="J426" r:id="rId424"/>
    <hyperlink ref="J427" r:id="rId425"/>
    <hyperlink ref="J428" r:id="rId426"/>
    <hyperlink ref="J429" r:id="rId427"/>
    <hyperlink ref="J430" r:id="rId428"/>
    <hyperlink ref="J431" r:id="rId429"/>
    <hyperlink ref="J432" r:id="rId430"/>
    <hyperlink ref="J433" r:id="rId431"/>
    <hyperlink ref="J434" r:id="rId432"/>
    <hyperlink ref="J435" r:id="rId433"/>
    <hyperlink ref="J436" r:id="rId434"/>
    <hyperlink ref="J437" r:id="rId435"/>
    <hyperlink ref="J438" r:id="rId436"/>
    <hyperlink ref="J439" r:id="rId437"/>
    <hyperlink ref="J440" r:id="rId438"/>
    <hyperlink ref="J441" r:id="rId439"/>
    <hyperlink ref="J442" r:id="rId440"/>
    <hyperlink ref="J443" r:id="rId441"/>
    <hyperlink ref="J444" r:id="rId442"/>
    <hyperlink ref="J445" r:id="rId443"/>
    <hyperlink ref="J446" r:id="rId444"/>
    <hyperlink ref="J447" r:id="rId445"/>
    <hyperlink ref="J448" r:id="rId446"/>
    <hyperlink ref="J449" r:id="rId447"/>
    <hyperlink ref="J450" r:id="rId448"/>
    <hyperlink ref="J451" r:id="rId449"/>
    <hyperlink ref="J452" r:id="rId450"/>
    <hyperlink ref="J453" r:id="rId451"/>
    <hyperlink ref="J454" r:id="rId452"/>
    <hyperlink ref="J455" r:id="rId453"/>
    <hyperlink ref="J456" r:id="rId454"/>
    <hyperlink ref="J457" r:id="rId455"/>
    <hyperlink ref="J458" r:id="rId456"/>
    <hyperlink ref="J459" r:id="rId457"/>
    <hyperlink ref="J460" r:id="rId458"/>
    <hyperlink ref="J461" r:id="rId459"/>
    <hyperlink ref="J462" r:id="rId460"/>
    <hyperlink ref="J463" r:id="rId461"/>
    <hyperlink ref="J464" r:id="rId462"/>
    <hyperlink ref="J465" r:id="rId463"/>
    <hyperlink ref="J466" r:id="rId464"/>
    <hyperlink ref="J467" r:id="rId465"/>
    <hyperlink ref="J468" r:id="rId466"/>
    <hyperlink ref="J469" r:id="rId467"/>
    <hyperlink ref="J470" r:id="rId468"/>
    <hyperlink ref="J471" r:id="rId469"/>
    <hyperlink ref="J472" r:id="rId470"/>
    <hyperlink ref="J473" r:id="rId471"/>
    <hyperlink ref="J474" r:id="rId472"/>
    <hyperlink ref="J475" r:id="rId473"/>
    <hyperlink ref="J476" r:id="rId474"/>
  </hyperlinks>
  <pageMargins left="0.4" right="0.4" top="0.5" bottom="0.5" header="0.2" footer="0.2"/>
  <pageSetup paperSize="9" orientation="landscape" horizontalDpi="4294967295" verticalDpi="4294967295"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12" customWidth="1"/>
    <col min="3" max="3" width="40" customWidth="1"/>
    <col min="4" max="4" width="28" customWidth="1"/>
    <col min="5" max="5" width="14" customWidth="1"/>
    <col min="6" max="6" width="30" customWidth="1"/>
    <col min="7" max="7" width="16" customWidth="1"/>
    <col min="8" max="8" width="11" customWidth="1"/>
    <col min="9" max="9" width="7" customWidth="1"/>
    <col min="10" max="10" width="10" customWidth="1"/>
  </cols>
  <sheetData>
    <row r="1" ht="34" customHeight="1" spans="1:11" x14ac:dyDescent="0.25">
      <c r="A1" s="12" t="s">
        <v>49</v>
      </c>
      <c r="B1" s="12" t="s">
        <v>50</v>
      </c>
      <c r="C1" s="12" t="s">
        <v>1071</v>
      </c>
      <c r="D1" s="12" t="s">
        <v>1072</v>
      </c>
      <c r="E1" s="12" t="s">
        <v>1073</v>
      </c>
      <c r="F1" s="12" t="s">
        <v>1074</v>
      </c>
      <c r="G1" s="12" t="s">
        <v>123</v>
      </c>
      <c r="H1" s="12" t="s">
        <v>1075</v>
      </c>
      <c r="I1" s="12" t="s">
        <v>1076</v>
      </c>
      <c r="J1" s="12" t="s">
        <v>1077</v>
      </c>
      <c r="K1" s="12" t="s">
        <v>51</v>
      </c>
    </row>
    <row r="2" spans="1:11" x14ac:dyDescent="0.25">
      <c r="A2" s="7" t="s">
        <v>64</v>
      </c>
      <c r="B2" s="7" t="s">
        <v>65</v>
      </c>
      <c r="C2" s="7" t="s">
        <v>73</v>
      </c>
      <c r="D2" s="7" t="s">
        <v>1078</v>
      </c>
      <c r="E2" s="7" t="s">
        <v>1079</v>
      </c>
      <c r="F2" s="7" t="s">
        <v>1080</v>
      </c>
      <c r="G2" s="7" t="s">
        <v>1081</v>
      </c>
      <c r="H2" s="7" t="s">
        <v>1082</v>
      </c>
      <c r="I2" s="7">
        <v>10</v>
      </c>
      <c r="J2" s="7" t="s">
        <v>73</v>
      </c>
      <c r="K2" s="15" t="s">
        <v>66</v>
      </c>
    </row>
    <row r="3" spans="1:11" x14ac:dyDescent="0.25">
      <c r="A3" s="7" t="s">
        <v>330</v>
      </c>
      <c r="B3" s="7" t="s">
        <v>65</v>
      </c>
      <c r="C3" s="7" t="s">
        <v>73</v>
      </c>
      <c r="D3" s="7" t="s">
        <v>1083</v>
      </c>
      <c r="E3" s="7" t="s">
        <v>1084</v>
      </c>
      <c r="F3" s="7" t="s">
        <v>1085</v>
      </c>
      <c r="G3" s="7" t="s">
        <v>1086</v>
      </c>
      <c r="H3" s="7" t="s">
        <v>1087</v>
      </c>
      <c r="I3" s="7">
        <v>1</v>
      </c>
      <c r="J3" s="7" t="s">
        <v>73</v>
      </c>
      <c r="K3" s="15" t="s">
        <v>66</v>
      </c>
    </row>
    <row r="4" spans="1:11" x14ac:dyDescent="0.25">
      <c r="A4" s="7" t="s">
        <v>93</v>
      </c>
      <c r="B4" s="7" t="s">
        <v>65</v>
      </c>
      <c r="C4" s="7" t="s">
        <v>73</v>
      </c>
      <c r="D4" s="7" t="s">
        <v>1088</v>
      </c>
      <c r="E4" s="7" t="s">
        <v>1089</v>
      </c>
      <c r="F4" s="7" t="s">
        <v>1090</v>
      </c>
      <c r="G4" s="7" t="s">
        <v>1091</v>
      </c>
      <c r="H4" s="7" t="s">
        <v>73</v>
      </c>
      <c r="I4" s="7">
        <v>3</v>
      </c>
      <c r="J4" s="7" t="s">
        <v>73</v>
      </c>
      <c r="K4" s="15" t="s">
        <v>66</v>
      </c>
    </row>
    <row r="5" spans="1:11" x14ac:dyDescent="0.25">
      <c r="A5" s="7" t="s">
        <v>213</v>
      </c>
      <c r="B5" s="7" t="s">
        <v>65</v>
      </c>
      <c r="C5" s="7" t="s">
        <v>73</v>
      </c>
      <c r="D5" s="7" t="s">
        <v>1088</v>
      </c>
      <c r="E5" s="7" t="s">
        <v>1092</v>
      </c>
      <c r="F5" s="7" t="s">
        <v>1093</v>
      </c>
      <c r="G5" s="7" t="s">
        <v>1094</v>
      </c>
      <c r="H5" s="7" t="s">
        <v>1095</v>
      </c>
      <c r="I5" s="7">
        <v>13</v>
      </c>
      <c r="J5" s="7" t="s">
        <v>1096</v>
      </c>
      <c r="K5" s="15" t="s">
        <v>66</v>
      </c>
    </row>
    <row r="6" spans="1:11" x14ac:dyDescent="0.25">
      <c r="A6" s="7" t="s">
        <v>337</v>
      </c>
      <c r="B6" s="7" t="s">
        <v>65</v>
      </c>
      <c r="C6" s="7" t="s">
        <v>73</v>
      </c>
      <c r="D6" s="7" t="s">
        <v>1097</v>
      </c>
      <c r="E6" s="7" t="s">
        <v>1098</v>
      </c>
      <c r="F6" s="7" t="s">
        <v>1085</v>
      </c>
      <c r="G6" s="7" t="s">
        <v>1099</v>
      </c>
      <c r="H6" s="7" t="s">
        <v>1100</v>
      </c>
      <c r="I6" s="7">
        <v>18</v>
      </c>
      <c r="J6" s="7" t="s">
        <v>73</v>
      </c>
      <c r="K6" s="15" t="s">
        <v>66</v>
      </c>
    </row>
    <row r="7" spans="1:11" x14ac:dyDescent="0.25">
      <c r="A7" s="7" t="s">
        <v>374</v>
      </c>
      <c r="B7" s="7" t="s">
        <v>65</v>
      </c>
      <c r="C7" s="7" t="s">
        <v>73</v>
      </c>
      <c r="D7" s="7" t="s">
        <v>1083</v>
      </c>
      <c r="E7" s="7" t="s">
        <v>1101</v>
      </c>
      <c r="F7" s="7" t="s">
        <v>1102</v>
      </c>
      <c r="G7" s="7" t="s">
        <v>1103</v>
      </c>
      <c r="H7" s="7" t="s">
        <v>1104</v>
      </c>
      <c r="I7" s="7">
        <v>7</v>
      </c>
      <c r="J7" s="7" t="s">
        <v>73</v>
      </c>
      <c r="K7" s="15" t="s">
        <v>66</v>
      </c>
    </row>
    <row r="8" spans="1:11" x14ac:dyDescent="0.25">
      <c r="A8" s="7" t="s">
        <v>388</v>
      </c>
      <c r="B8" s="7" t="s">
        <v>65</v>
      </c>
      <c r="C8" s="7" t="s">
        <v>73</v>
      </c>
      <c r="D8" s="7" t="s">
        <v>1088</v>
      </c>
      <c r="E8" s="7" t="s">
        <v>1105</v>
      </c>
      <c r="F8" s="7" t="s">
        <v>1085</v>
      </c>
      <c r="G8" s="7" t="s">
        <v>1106</v>
      </c>
      <c r="H8" s="7" t="s">
        <v>1107</v>
      </c>
      <c r="I8" s="7">
        <v>2</v>
      </c>
      <c r="J8" s="7" t="s">
        <v>73</v>
      </c>
      <c r="K8" s="15" t="s">
        <v>66</v>
      </c>
    </row>
    <row r="9" spans="1:11" x14ac:dyDescent="0.25">
      <c r="A9" s="7" t="s">
        <v>238</v>
      </c>
      <c r="B9" s="7" t="s">
        <v>65</v>
      </c>
      <c r="C9" s="7" t="s">
        <v>73</v>
      </c>
      <c r="D9" s="7" t="s">
        <v>1108</v>
      </c>
      <c r="E9" s="7" t="s">
        <v>1109</v>
      </c>
      <c r="F9" s="7" t="s">
        <v>1102</v>
      </c>
      <c r="G9" s="7" t="s">
        <v>1110</v>
      </c>
      <c r="H9" s="7" t="s">
        <v>1111</v>
      </c>
      <c r="I9" s="7">
        <v>15</v>
      </c>
      <c r="J9" s="7" t="s">
        <v>1096</v>
      </c>
      <c r="K9" s="15" t="s">
        <v>66</v>
      </c>
    </row>
    <row r="10" spans="1:11" x14ac:dyDescent="0.25">
      <c r="A10" s="7" t="s">
        <v>269</v>
      </c>
      <c r="B10" s="7" t="s">
        <v>65</v>
      </c>
      <c r="C10" s="7" t="s">
        <v>73</v>
      </c>
      <c r="D10" s="7" t="s">
        <v>1112</v>
      </c>
      <c r="E10" s="7" t="s">
        <v>1113</v>
      </c>
      <c r="F10" s="7" t="s">
        <v>1085</v>
      </c>
      <c r="G10" s="7" t="s">
        <v>1114</v>
      </c>
      <c r="H10" s="7" t="s">
        <v>1115</v>
      </c>
      <c r="I10" s="7">
        <v>2</v>
      </c>
      <c r="J10" s="7" t="s">
        <v>1096</v>
      </c>
      <c r="K10" s="15" t="s">
        <v>66</v>
      </c>
    </row>
    <row r="11" spans="1:11" x14ac:dyDescent="0.25">
      <c r="A11" s="7" t="s">
        <v>393</v>
      </c>
      <c r="B11" s="7" t="s">
        <v>65</v>
      </c>
      <c r="C11" s="7" t="s">
        <v>73</v>
      </c>
      <c r="D11" s="7" t="s">
        <v>1088</v>
      </c>
      <c r="E11" s="7" t="s">
        <v>1116</v>
      </c>
      <c r="F11" s="7" t="s">
        <v>1085</v>
      </c>
      <c r="G11" s="7" t="s">
        <v>1117</v>
      </c>
      <c r="H11" s="7" t="s">
        <v>1118</v>
      </c>
      <c r="I11" s="7">
        <v>1</v>
      </c>
      <c r="J11" s="7" t="s">
        <v>73</v>
      </c>
      <c r="K11" s="15" t="s">
        <v>66</v>
      </c>
    </row>
    <row r="12" spans="1:11" x14ac:dyDescent="0.25">
      <c r="A12" s="7" t="s">
        <v>101</v>
      </c>
      <c r="B12" s="7" t="s">
        <v>65</v>
      </c>
      <c r="C12" s="7" t="s">
        <v>73</v>
      </c>
      <c r="D12" s="7" t="s">
        <v>1083</v>
      </c>
      <c r="E12" s="7" t="s">
        <v>1119</v>
      </c>
      <c r="F12" s="7" t="s">
        <v>1080</v>
      </c>
      <c r="G12" s="7" t="s">
        <v>1120</v>
      </c>
      <c r="H12" s="7" t="s">
        <v>1121</v>
      </c>
      <c r="I12" s="7">
        <v>6</v>
      </c>
      <c r="J12" s="7" t="s">
        <v>73</v>
      </c>
      <c r="K12" s="15" t="s">
        <v>66</v>
      </c>
    </row>
    <row r="13" spans="1:11" x14ac:dyDescent="0.25">
      <c r="A13" s="7" t="s">
        <v>408</v>
      </c>
      <c r="B13" s="7" t="s">
        <v>65</v>
      </c>
      <c r="C13" s="7" t="s">
        <v>73</v>
      </c>
      <c r="D13" s="7" t="s">
        <v>1097</v>
      </c>
      <c r="E13" s="7" t="s">
        <v>1122</v>
      </c>
      <c r="F13" s="7" t="s">
        <v>1123</v>
      </c>
      <c r="G13" s="7" t="s">
        <v>1124</v>
      </c>
      <c r="H13" s="7" t="s">
        <v>1125</v>
      </c>
      <c r="I13" s="7">
        <v>7</v>
      </c>
      <c r="J13" s="7" t="s">
        <v>73</v>
      </c>
      <c r="K13" s="15" t="s">
        <v>66</v>
      </c>
    </row>
    <row r="14" spans="1:11" x14ac:dyDescent="0.25">
      <c r="A14" s="7" t="s">
        <v>415</v>
      </c>
      <c r="B14" s="7" t="s">
        <v>65</v>
      </c>
      <c r="C14" s="7" t="s">
        <v>73</v>
      </c>
      <c r="D14" s="7" t="s">
        <v>1083</v>
      </c>
      <c r="E14" s="7" t="s">
        <v>1126</v>
      </c>
      <c r="F14" s="7" t="s">
        <v>1127</v>
      </c>
      <c r="G14" s="7" t="s">
        <v>1128</v>
      </c>
      <c r="H14" s="7" t="s">
        <v>1129</v>
      </c>
      <c r="I14" s="7">
        <v>1</v>
      </c>
      <c r="J14" s="7" t="s">
        <v>73</v>
      </c>
      <c r="K14" s="15" t="s">
        <v>66</v>
      </c>
    </row>
    <row r="15" spans="1:11" x14ac:dyDescent="0.25">
      <c r="A15" s="7" t="s">
        <v>274</v>
      </c>
      <c r="B15" s="7" t="s">
        <v>65</v>
      </c>
      <c r="C15" s="7" t="s">
        <v>73</v>
      </c>
      <c r="D15" s="7" t="s">
        <v>1088</v>
      </c>
      <c r="E15" s="7" t="s">
        <v>1130</v>
      </c>
      <c r="F15" s="7" t="s">
        <v>1085</v>
      </c>
      <c r="G15" s="7" t="s">
        <v>1131</v>
      </c>
      <c r="H15" s="7" t="s">
        <v>1132</v>
      </c>
      <c r="I15" s="7">
        <v>1</v>
      </c>
      <c r="J15" s="7" t="s">
        <v>1096</v>
      </c>
      <c r="K15" s="15" t="s">
        <v>66</v>
      </c>
    </row>
    <row r="16" spans="1:11" x14ac:dyDescent="0.25">
      <c r="A16" s="7" t="s">
        <v>417</v>
      </c>
      <c r="B16" s="7" t="s">
        <v>65</v>
      </c>
      <c r="C16" s="7" t="s">
        <v>73</v>
      </c>
      <c r="D16" s="7" t="s">
        <v>1133</v>
      </c>
      <c r="E16" s="7" t="s">
        <v>1134</v>
      </c>
      <c r="F16" s="7" t="s">
        <v>1135</v>
      </c>
      <c r="G16" s="7" t="s">
        <v>1136</v>
      </c>
      <c r="H16" s="7" t="s">
        <v>1137</v>
      </c>
      <c r="I16" s="7">
        <v>42</v>
      </c>
      <c r="J16" s="7" t="s">
        <v>73</v>
      </c>
      <c r="K16" s="15" t="s">
        <v>66</v>
      </c>
    </row>
    <row r="17" spans="1:11" x14ac:dyDescent="0.25">
      <c r="A17" s="7" t="s">
        <v>501</v>
      </c>
      <c r="B17" s="7" t="s">
        <v>65</v>
      </c>
      <c r="C17" s="7" t="s">
        <v>73</v>
      </c>
      <c r="D17" s="7" t="s">
        <v>1108</v>
      </c>
      <c r="E17" s="7" t="s">
        <v>1138</v>
      </c>
      <c r="F17" s="7" t="s">
        <v>1102</v>
      </c>
      <c r="G17" s="7" t="s">
        <v>1139</v>
      </c>
      <c r="H17" s="7" t="s">
        <v>1140</v>
      </c>
      <c r="I17" s="7">
        <v>8</v>
      </c>
      <c r="J17" s="7" t="s">
        <v>73</v>
      </c>
      <c r="K17" s="15" t="s">
        <v>66</v>
      </c>
    </row>
    <row r="18" spans="1:11" x14ac:dyDescent="0.25">
      <c r="A18" s="7" t="s">
        <v>108</v>
      </c>
      <c r="B18" s="7" t="s">
        <v>65</v>
      </c>
      <c r="C18" s="7" t="s">
        <v>73</v>
      </c>
      <c r="D18" s="7" t="s">
        <v>1083</v>
      </c>
      <c r="E18" s="7" t="s">
        <v>1141</v>
      </c>
      <c r="F18" s="7" t="s">
        <v>1085</v>
      </c>
      <c r="G18" s="7" t="s">
        <v>1142</v>
      </c>
      <c r="H18" s="7" t="s">
        <v>1143</v>
      </c>
      <c r="I18" s="7">
        <v>1</v>
      </c>
      <c r="J18" s="7" t="s">
        <v>73</v>
      </c>
      <c r="K18" s="15" t="s">
        <v>66</v>
      </c>
    </row>
    <row r="19" spans="1:11" x14ac:dyDescent="0.25">
      <c r="A19" s="7" t="s">
        <v>115</v>
      </c>
      <c r="B19" s="7" t="s">
        <v>65</v>
      </c>
      <c r="C19" s="7" t="s">
        <v>73</v>
      </c>
      <c r="D19" s="7" t="s">
        <v>1144</v>
      </c>
      <c r="E19" s="7" t="s">
        <v>1145</v>
      </c>
      <c r="F19" s="7" t="s">
        <v>1080</v>
      </c>
      <c r="G19" s="7" t="s">
        <v>1146</v>
      </c>
      <c r="H19" s="7" t="s">
        <v>1147</v>
      </c>
      <c r="I19" s="7">
        <v>1</v>
      </c>
      <c r="J19" s="7" t="s">
        <v>73</v>
      </c>
      <c r="K19" s="15" t="s">
        <v>66</v>
      </c>
    </row>
    <row r="20" spans="1:11" x14ac:dyDescent="0.25">
      <c r="A20" s="7" t="s">
        <v>277</v>
      </c>
      <c r="B20" s="7" t="s">
        <v>65</v>
      </c>
      <c r="C20" s="7" t="s">
        <v>73</v>
      </c>
      <c r="D20" s="7" t="s">
        <v>1083</v>
      </c>
      <c r="E20" s="7" t="s">
        <v>1148</v>
      </c>
      <c r="F20" s="7" t="s">
        <v>1085</v>
      </c>
      <c r="G20" s="7" t="s">
        <v>1149</v>
      </c>
      <c r="H20" s="7" t="s">
        <v>1150</v>
      </c>
      <c r="I20" s="7">
        <v>3</v>
      </c>
      <c r="J20" s="7" t="s">
        <v>1096</v>
      </c>
      <c r="K20" s="15" t="s">
        <v>66</v>
      </c>
    </row>
    <row r="21" spans="1:11" x14ac:dyDescent="0.25">
      <c r="A21" s="7" t="s">
        <v>518</v>
      </c>
      <c r="B21" s="7" t="s">
        <v>65</v>
      </c>
      <c r="C21" s="7" t="s">
        <v>73</v>
      </c>
      <c r="D21" s="7" t="s">
        <v>1078</v>
      </c>
      <c r="E21" s="7" t="s">
        <v>1079</v>
      </c>
      <c r="F21" s="7" t="s">
        <v>1135</v>
      </c>
      <c r="G21" s="7" t="s">
        <v>1151</v>
      </c>
      <c r="H21" s="7" t="s">
        <v>1152</v>
      </c>
      <c r="I21" s="7">
        <v>6</v>
      </c>
      <c r="J21" s="7" t="s">
        <v>73</v>
      </c>
      <c r="K21" s="15" t="s">
        <v>66</v>
      </c>
    </row>
    <row r="22" spans="1:11" x14ac:dyDescent="0.25">
      <c r="A22" s="7" t="s">
        <v>121</v>
      </c>
      <c r="B22" s="7" t="s">
        <v>65</v>
      </c>
      <c r="C22" s="7" t="s">
        <v>73</v>
      </c>
      <c r="D22" s="7" t="s">
        <v>1153</v>
      </c>
      <c r="E22" s="7" t="s">
        <v>1084</v>
      </c>
      <c r="F22" s="7" t="s">
        <v>1154</v>
      </c>
      <c r="G22" s="7" t="s">
        <v>124</v>
      </c>
      <c r="H22" s="7" t="s">
        <v>1155</v>
      </c>
      <c r="I22" s="7">
        <v>14</v>
      </c>
      <c r="J22" s="7" t="s">
        <v>73</v>
      </c>
      <c r="K22" s="15" t="s">
        <v>66</v>
      </c>
    </row>
    <row r="23" spans="1:11" x14ac:dyDescent="0.25">
      <c r="A23" s="7" t="s">
        <v>128</v>
      </c>
      <c r="B23" s="7" t="s">
        <v>65</v>
      </c>
      <c r="C23" s="7" t="s">
        <v>73</v>
      </c>
      <c r="D23" s="7" t="s">
        <v>1088</v>
      </c>
      <c r="E23" s="7" t="s">
        <v>1089</v>
      </c>
      <c r="F23" s="7" t="s">
        <v>73</v>
      </c>
      <c r="G23" s="7" t="s">
        <v>129</v>
      </c>
      <c r="H23" s="7" t="s">
        <v>73</v>
      </c>
      <c r="I23" s="7">
        <v>7</v>
      </c>
      <c r="J23" s="7" t="s">
        <v>73</v>
      </c>
      <c r="K23" s="15" t="s">
        <v>66</v>
      </c>
    </row>
    <row r="24" spans="1:11" x14ac:dyDescent="0.25">
      <c r="A24" s="7" t="s">
        <v>572</v>
      </c>
      <c r="B24" s="7" t="s">
        <v>65</v>
      </c>
      <c r="C24" s="7" t="s">
        <v>73</v>
      </c>
      <c r="D24" s="7" t="s">
        <v>1088</v>
      </c>
      <c r="E24" s="7" t="s">
        <v>1092</v>
      </c>
      <c r="F24" s="7" t="s">
        <v>1156</v>
      </c>
      <c r="G24" s="7" t="s">
        <v>1157</v>
      </c>
      <c r="H24" s="7" t="s">
        <v>1158</v>
      </c>
      <c r="I24" s="7">
        <v>2</v>
      </c>
      <c r="J24" s="7" t="s">
        <v>73</v>
      </c>
      <c r="K24" s="15" t="s">
        <v>66</v>
      </c>
    </row>
    <row r="25" spans="1:11" x14ac:dyDescent="0.25">
      <c r="A25" s="7" t="s">
        <v>575</v>
      </c>
      <c r="B25" s="7" t="s">
        <v>65</v>
      </c>
      <c r="C25" s="7" t="s">
        <v>73</v>
      </c>
      <c r="D25" s="7" t="s">
        <v>1133</v>
      </c>
      <c r="E25" s="7" t="s">
        <v>1101</v>
      </c>
      <c r="F25" s="7" t="s">
        <v>1102</v>
      </c>
      <c r="G25" s="7" t="s">
        <v>1159</v>
      </c>
      <c r="H25" s="7" t="s">
        <v>1160</v>
      </c>
      <c r="I25" s="7">
        <v>17</v>
      </c>
      <c r="J25" s="7" t="s">
        <v>73</v>
      </c>
      <c r="K25" s="15" t="s">
        <v>66</v>
      </c>
    </row>
    <row r="26" spans="1:11" x14ac:dyDescent="0.25">
      <c r="A26" s="7" t="s">
        <v>610</v>
      </c>
      <c r="B26" s="7" t="s">
        <v>65</v>
      </c>
      <c r="C26" s="7" t="s">
        <v>73</v>
      </c>
      <c r="D26" s="7" t="s">
        <v>1088</v>
      </c>
      <c r="E26" s="7" t="s">
        <v>1105</v>
      </c>
      <c r="F26" s="7" t="s">
        <v>1085</v>
      </c>
      <c r="G26" s="7" t="s">
        <v>1161</v>
      </c>
      <c r="H26" s="7" t="s">
        <v>1162</v>
      </c>
      <c r="I26" s="7">
        <v>2</v>
      </c>
      <c r="J26" s="7" t="s">
        <v>73</v>
      </c>
      <c r="K26" s="15" t="s">
        <v>66</v>
      </c>
    </row>
    <row r="27" spans="1:11" x14ac:dyDescent="0.25">
      <c r="A27" s="7" t="s">
        <v>615</v>
      </c>
      <c r="B27" s="7" t="s">
        <v>65</v>
      </c>
      <c r="C27" s="7" t="s">
        <v>73</v>
      </c>
      <c r="D27" s="7" t="s">
        <v>1078</v>
      </c>
      <c r="E27" s="7" t="s">
        <v>1109</v>
      </c>
      <c r="F27" s="7" t="s">
        <v>1102</v>
      </c>
      <c r="G27" s="7" t="s">
        <v>1163</v>
      </c>
      <c r="H27" s="7" t="s">
        <v>1164</v>
      </c>
      <c r="I27" s="7">
        <v>4</v>
      </c>
      <c r="J27" s="7" t="s">
        <v>73</v>
      </c>
      <c r="K27" s="15" t="s">
        <v>66</v>
      </c>
    </row>
    <row r="28" spans="1:11" x14ac:dyDescent="0.25">
      <c r="A28" s="7" t="s">
        <v>623</v>
      </c>
      <c r="B28" s="7" t="s">
        <v>65</v>
      </c>
      <c r="C28" s="7" t="s">
        <v>73</v>
      </c>
      <c r="D28" s="7" t="s">
        <v>1097</v>
      </c>
      <c r="E28" s="7" t="s">
        <v>1113</v>
      </c>
      <c r="F28" s="7" t="s">
        <v>1085</v>
      </c>
      <c r="G28" s="7" t="s">
        <v>1165</v>
      </c>
      <c r="H28" s="7" t="s">
        <v>1166</v>
      </c>
      <c r="I28" s="7">
        <v>14</v>
      </c>
      <c r="J28" s="7" t="s">
        <v>73</v>
      </c>
      <c r="K28" s="15" t="s">
        <v>66</v>
      </c>
    </row>
    <row r="29" spans="1:11" x14ac:dyDescent="0.25">
      <c r="A29" s="7" t="s">
        <v>651</v>
      </c>
      <c r="B29" s="7" t="s">
        <v>65</v>
      </c>
      <c r="C29" s="7" t="s">
        <v>73</v>
      </c>
      <c r="D29" s="7" t="s">
        <v>1088</v>
      </c>
      <c r="E29" s="7" t="s">
        <v>1116</v>
      </c>
      <c r="F29" s="7" t="s">
        <v>1085</v>
      </c>
      <c r="G29" s="7" t="s">
        <v>1167</v>
      </c>
      <c r="H29" s="7" t="s">
        <v>1111</v>
      </c>
      <c r="I29" s="7">
        <v>1</v>
      </c>
      <c r="J29" s="7" t="s">
        <v>73</v>
      </c>
      <c r="K29" s="15" t="s">
        <v>66</v>
      </c>
    </row>
    <row r="30" spans="1:11" x14ac:dyDescent="0.25">
      <c r="A30" s="7" t="s">
        <v>654</v>
      </c>
      <c r="B30" s="7" t="s">
        <v>65</v>
      </c>
      <c r="C30" s="7" t="s">
        <v>73</v>
      </c>
      <c r="D30" s="7" t="s">
        <v>1083</v>
      </c>
      <c r="E30" s="7" t="s">
        <v>1119</v>
      </c>
      <c r="F30" s="7" t="s">
        <v>1080</v>
      </c>
      <c r="G30" s="7" t="s">
        <v>1168</v>
      </c>
      <c r="H30" s="7" t="s">
        <v>1150</v>
      </c>
      <c r="I30" s="7">
        <v>6</v>
      </c>
      <c r="J30" s="7" t="s">
        <v>73</v>
      </c>
      <c r="K30" s="15" t="s">
        <v>66</v>
      </c>
    </row>
    <row r="31" spans="1:11" x14ac:dyDescent="0.25">
      <c r="A31" s="7" t="s">
        <v>667</v>
      </c>
      <c r="B31" s="7" t="s">
        <v>65</v>
      </c>
      <c r="C31" s="7" t="s">
        <v>73</v>
      </c>
      <c r="D31" s="7" t="s">
        <v>1088</v>
      </c>
      <c r="E31" s="7" t="s">
        <v>1130</v>
      </c>
      <c r="F31" s="7" t="s">
        <v>1085</v>
      </c>
      <c r="G31" s="7" t="s">
        <v>1169</v>
      </c>
      <c r="H31" s="7" t="s">
        <v>1170</v>
      </c>
      <c r="I31" s="7">
        <v>1</v>
      </c>
      <c r="J31" s="7" t="s">
        <v>73</v>
      </c>
      <c r="K31" s="15" t="s">
        <v>66</v>
      </c>
    </row>
    <row r="32" spans="1:11" x14ac:dyDescent="0.25">
      <c r="A32" s="7" t="s">
        <v>131</v>
      </c>
      <c r="B32" s="7" t="s">
        <v>132</v>
      </c>
      <c r="C32" s="7" t="s">
        <v>1171</v>
      </c>
      <c r="D32" s="7" t="s">
        <v>1088</v>
      </c>
      <c r="E32" s="7" t="s">
        <v>1089</v>
      </c>
      <c r="F32" s="7" t="s">
        <v>1172</v>
      </c>
      <c r="G32" s="7" t="s">
        <v>1173</v>
      </c>
      <c r="H32" s="7" t="s">
        <v>1174</v>
      </c>
      <c r="I32" s="7">
        <v>15</v>
      </c>
      <c r="J32" s="7" t="s">
        <v>73</v>
      </c>
      <c r="K32" s="15" t="s">
        <v>66</v>
      </c>
    </row>
    <row r="33" spans="1:11" x14ac:dyDescent="0.25">
      <c r="A33" s="7" t="s">
        <v>155</v>
      </c>
      <c r="B33" s="7" t="s">
        <v>132</v>
      </c>
      <c r="C33" s="7" t="s">
        <v>1171</v>
      </c>
      <c r="D33" s="7" t="s">
        <v>1088</v>
      </c>
      <c r="E33" s="7" t="s">
        <v>1089</v>
      </c>
      <c r="F33" s="7" t="s">
        <v>1090</v>
      </c>
      <c r="G33" s="7" t="s">
        <v>73</v>
      </c>
      <c r="H33" s="7" t="s">
        <v>73</v>
      </c>
      <c r="I33" s="7">
        <v>15</v>
      </c>
      <c r="J33" s="7" t="s">
        <v>73</v>
      </c>
      <c r="K33" s="15" t="s">
        <v>66</v>
      </c>
    </row>
    <row r="34" spans="1:11" x14ac:dyDescent="0.25">
      <c r="A34" s="7" t="s">
        <v>702</v>
      </c>
      <c r="B34" s="7" t="s">
        <v>132</v>
      </c>
      <c r="C34" s="7" t="s">
        <v>1175</v>
      </c>
      <c r="D34" s="7" t="s">
        <v>1153</v>
      </c>
      <c r="E34" s="7" t="s">
        <v>1130</v>
      </c>
      <c r="F34" s="7" t="s">
        <v>1102</v>
      </c>
      <c r="G34" s="7" t="s">
        <v>1176</v>
      </c>
      <c r="H34" s="7" t="s">
        <v>1177</v>
      </c>
      <c r="I34" s="7">
        <v>14</v>
      </c>
      <c r="J34" s="7" t="s">
        <v>73</v>
      </c>
      <c r="K34" s="15" t="s">
        <v>66</v>
      </c>
    </row>
    <row r="35" spans="1:11" x14ac:dyDescent="0.25">
      <c r="A35" s="7" t="s">
        <v>181</v>
      </c>
      <c r="B35" s="7" t="s">
        <v>132</v>
      </c>
      <c r="C35" s="7" t="s">
        <v>1178</v>
      </c>
      <c r="D35" s="7" t="s">
        <v>1083</v>
      </c>
      <c r="E35" s="7" t="s">
        <v>1130</v>
      </c>
      <c r="F35" s="7" t="s">
        <v>1085</v>
      </c>
      <c r="G35" s="7" t="s">
        <v>1179</v>
      </c>
      <c r="H35" s="7" t="s">
        <v>1180</v>
      </c>
      <c r="I35" s="7">
        <v>21</v>
      </c>
      <c r="J35" s="7" t="s">
        <v>73</v>
      </c>
      <c r="K35" s="15" t="s">
        <v>66</v>
      </c>
    </row>
    <row r="36" spans="1:11" x14ac:dyDescent="0.25">
      <c r="A36" s="7" t="s">
        <v>763</v>
      </c>
      <c r="B36" s="7" t="s">
        <v>132</v>
      </c>
      <c r="C36" s="7" t="s">
        <v>1181</v>
      </c>
      <c r="D36" s="7" t="s">
        <v>1182</v>
      </c>
      <c r="E36" s="7" t="s">
        <v>1145</v>
      </c>
      <c r="F36" s="7" t="s">
        <v>1080</v>
      </c>
      <c r="G36" s="7" t="s">
        <v>1183</v>
      </c>
      <c r="H36" s="7" t="s">
        <v>1184</v>
      </c>
      <c r="I36" s="7">
        <v>13</v>
      </c>
      <c r="J36" s="7" t="s">
        <v>73</v>
      </c>
      <c r="K36" s="15" t="s">
        <v>66</v>
      </c>
    </row>
    <row r="37" spans="1:11" x14ac:dyDescent="0.25">
      <c r="A37" s="7" t="s">
        <v>784</v>
      </c>
      <c r="B37" s="7" t="s">
        <v>132</v>
      </c>
      <c r="C37" s="7" t="s">
        <v>1181</v>
      </c>
      <c r="D37" s="7" t="s">
        <v>1112</v>
      </c>
      <c r="E37" s="7" t="s">
        <v>1130</v>
      </c>
      <c r="F37" s="7" t="s">
        <v>1085</v>
      </c>
      <c r="G37" s="7" t="s">
        <v>1185</v>
      </c>
      <c r="H37" s="7" t="s">
        <v>1186</v>
      </c>
      <c r="I37" s="7">
        <v>16</v>
      </c>
      <c r="J37" s="7" t="s">
        <v>73</v>
      </c>
      <c r="K37" s="15" t="s">
        <v>66</v>
      </c>
    </row>
    <row r="38" spans="1:11" x14ac:dyDescent="0.25">
      <c r="A38" s="7" t="s">
        <v>810</v>
      </c>
      <c r="B38" s="7" t="s">
        <v>132</v>
      </c>
      <c r="C38" s="7" t="s">
        <v>1178</v>
      </c>
      <c r="D38" s="7" t="s">
        <v>1187</v>
      </c>
      <c r="E38" s="7" t="s">
        <v>1145</v>
      </c>
      <c r="F38" s="7" t="s">
        <v>1188</v>
      </c>
      <c r="G38" s="7" t="s">
        <v>1189</v>
      </c>
      <c r="H38" s="7" t="s">
        <v>1190</v>
      </c>
      <c r="I38" s="7">
        <v>26</v>
      </c>
      <c r="J38" s="7" t="s">
        <v>73</v>
      </c>
      <c r="K38" s="15" t="s">
        <v>66</v>
      </c>
    </row>
    <row r="39" spans="1:11" x14ac:dyDescent="0.25">
      <c r="A39" s="7" t="s">
        <v>861</v>
      </c>
      <c r="B39" s="7" t="s">
        <v>132</v>
      </c>
      <c r="C39" s="7" t="s">
        <v>1181</v>
      </c>
      <c r="D39" s="7" t="s">
        <v>1088</v>
      </c>
      <c r="E39" s="7" t="s">
        <v>1089</v>
      </c>
      <c r="F39" s="7" t="s">
        <v>1172</v>
      </c>
      <c r="G39" s="7" t="s">
        <v>1191</v>
      </c>
      <c r="H39" s="7" t="s">
        <v>1107</v>
      </c>
      <c r="I39" s="7">
        <v>10</v>
      </c>
      <c r="J39" s="7" t="s">
        <v>73</v>
      </c>
      <c r="K39" s="15" t="s">
        <v>66</v>
      </c>
    </row>
    <row r="40" spans="1:11" x14ac:dyDescent="0.25">
      <c r="A40" s="7" t="s">
        <v>863</v>
      </c>
      <c r="B40" s="7" t="s">
        <v>132</v>
      </c>
      <c r="C40" s="7" t="s">
        <v>1192</v>
      </c>
      <c r="D40" s="7" t="s">
        <v>1133</v>
      </c>
      <c r="E40" s="7" t="s">
        <v>1130</v>
      </c>
      <c r="F40" s="7" t="s">
        <v>1085</v>
      </c>
      <c r="G40" s="7" t="s">
        <v>1193</v>
      </c>
      <c r="H40" s="7" t="s">
        <v>1194</v>
      </c>
      <c r="I40" s="7">
        <v>9</v>
      </c>
      <c r="J40" s="7" t="s">
        <v>73</v>
      </c>
      <c r="K40" s="15" t="s">
        <v>66</v>
      </c>
    </row>
    <row r="41" spans="1:11" x14ac:dyDescent="0.25">
      <c r="A41" s="7" t="s">
        <v>875</v>
      </c>
      <c r="B41" s="7" t="s">
        <v>132</v>
      </c>
      <c r="C41" s="7" t="s">
        <v>1178</v>
      </c>
      <c r="D41" s="7" t="s">
        <v>1088</v>
      </c>
      <c r="E41" s="7" t="s">
        <v>1089</v>
      </c>
      <c r="F41" s="7" t="s">
        <v>1090</v>
      </c>
      <c r="G41" s="7" t="s">
        <v>1195</v>
      </c>
      <c r="H41" s="7" t="s">
        <v>73</v>
      </c>
      <c r="I41" s="7">
        <v>8</v>
      </c>
      <c r="J41" s="7" t="s">
        <v>73</v>
      </c>
      <c r="K41" s="15" t="s">
        <v>66</v>
      </c>
    </row>
    <row r="42" spans="1:11" x14ac:dyDescent="0.25">
      <c r="A42" s="7" t="s">
        <v>880</v>
      </c>
      <c r="B42" s="7" t="s">
        <v>132</v>
      </c>
      <c r="C42" s="7" t="s">
        <v>1196</v>
      </c>
      <c r="D42" s="7" t="s">
        <v>1088</v>
      </c>
      <c r="E42" s="7" t="s">
        <v>1130</v>
      </c>
      <c r="F42" s="7" t="s">
        <v>1102</v>
      </c>
      <c r="G42" s="7" t="s">
        <v>1197</v>
      </c>
      <c r="H42" s="7" t="s">
        <v>1198</v>
      </c>
      <c r="I42" s="7">
        <v>19</v>
      </c>
      <c r="J42" s="7" t="s">
        <v>73</v>
      </c>
      <c r="K42" s="15" t="s">
        <v>66</v>
      </c>
    </row>
    <row r="43" spans="1:11" x14ac:dyDescent="0.25">
      <c r="A43" s="7" t="s">
        <v>188</v>
      </c>
      <c r="B43" s="7" t="s">
        <v>132</v>
      </c>
      <c r="C43" s="7" t="s">
        <v>1196</v>
      </c>
      <c r="D43" s="7" t="s">
        <v>1199</v>
      </c>
      <c r="E43" s="7" t="s">
        <v>1145</v>
      </c>
      <c r="F43" s="7" t="s">
        <v>1080</v>
      </c>
      <c r="G43" s="7" t="s">
        <v>1200</v>
      </c>
      <c r="H43" s="7" t="s">
        <v>1201</v>
      </c>
      <c r="I43" s="7">
        <v>11</v>
      </c>
      <c r="J43" s="7" t="s">
        <v>73</v>
      </c>
      <c r="K43" s="15" t="s">
        <v>66</v>
      </c>
    </row>
    <row r="44" spans="1:11" x14ac:dyDescent="0.25">
      <c r="A44" s="7" t="s">
        <v>933</v>
      </c>
      <c r="B44" s="7" t="s">
        <v>132</v>
      </c>
      <c r="C44" s="7" t="s">
        <v>1178</v>
      </c>
      <c r="D44" s="7" t="s">
        <v>1097</v>
      </c>
      <c r="E44" s="7" t="s">
        <v>1130</v>
      </c>
      <c r="F44" s="7" t="s">
        <v>1085</v>
      </c>
      <c r="G44" s="7" t="s">
        <v>1202</v>
      </c>
      <c r="H44" s="7" t="s">
        <v>1194</v>
      </c>
      <c r="I44" s="7">
        <v>9</v>
      </c>
      <c r="J44" s="7" t="s">
        <v>73</v>
      </c>
      <c r="K44" s="15" t="s">
        <v>66</v>
      </c>
    </row>
    <row r="45" spans="1:11" x14ac:dyDescent="0.25">
      <c r="A45" s="7" t="s">
        <v>193</v>
      </c>
      <c r="B45" s="7" t="s">
        <v>132</v>
      </c>
      <c r="C45" s="7" t="s">
        <v>1196</v>
      </c>
      <c r="D45" s="7" t="s">
        <v>1108</v>
      </c>
      <c r="E45" s="7" t="s">
        <v>1119</v>
      </c>
      <c r="F45" s="7" t="s">
        <v>1102</v>
      </c>
      <c r="G45" s="7" t="s">
        <v>1203</v>
      </c>
      <c r="H45" s="7" t="s">
        <v>1204</v>
      </c>
      <c r="I45" s="7">
        <v>58</v>
      </c>
      <c r="J45" s="7" t="s">
        <v>73</v>
      </c>
      <c r="K45" s="15" t="s">
        <v>66</v>
      </c>
    </row>
    <row r="46" spans="1:11" x14ac:dyDescent="0.25">
      <c r="A46" s="7" t="s">
        <v>1056</v>
      </c>
      <c r="B46" s="7" t="s">
        <v>132</v>
      </c>
      <c r="C46" s="7" t="s">
        <v>1178</v>
      </c>
      <c r="D46" s="7" t="s">
        <v>1088</v>
      </c>
      <c r="E46" s="7" t="s">
        <v>1089</v>
      </c>
      <c r="F46" s="7" t="s">
        <v>1172</v>
      </c>
      <c r="G46" s="7" t="s">
        <v>1205</v>
      </c>
      <c r="H46" s="7" t="s">
        <v>1206</v>
      </c>
      <c r="I46" s="7">
        <v>14</v>
      </c>
      <c r="J46" s="7" t="s">
        <v>73</v>
      </c>
      <c r="K46" s="15" t="s">
        <v>66</v>
      </c>
    </row>
  </sheetData>
  <autoFilter ref="A1:K46"/>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s>
  <pageMargins left="0.4" right="0.4" top="0.5" bottom="0.5" header="0.2" footer="0.2"/>
  <pageSetup paperSize="9" orientation="landscape"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Start here</vt:lpstr>
      <vt:lpstr>2. Please check these</vt:lpstr>
      <vt:lpstr>3. Spot check</vt:lpstr>
      <vt:lpstr>4. Results</vt:lpstr>
      <vt:lpstr>5. All lines</vt:lpstr>
      <vt:lpstr>6.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PartsIndex OCR check</dc:creator>
  <dc:title/>
  <dc:subject/>
  <dc:description/>
  <cp:keywords/>
  <cp:category/>
  <cp:lastModifiedBy>Unknown</cp:lastModifiedBy>
  <dcterms:created xsi:type="dcterms:W3CDTF">2026-10-15T10:25:21Z</dcterms:created>
  <dcterms:modified xsi:type="dcterms:W3CDTF">2026-10-15T10:25:21Z</dcterms:modified>
</cp:coreProperties>
</file>